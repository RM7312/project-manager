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個人フォルダ\motohashi\【Design】\【教育関係資料】\見積り勉強会\"/>
    </mc:Choice>
  </mc:AlternateContent>
  <xr:revisionPtr revIDLastSave="0" documentId="13_ncr:1_{E282A723-EF93-4C9A-8AF9-11B03D50B316}" xr6:coauthVersionLast="47" xr6:coauthVersionMax="47" xr10:uidLastSave="{00000000-0000-0000-0000-000000000000}"/>
  <bookViews>
    <workbookView xWindow="-110" yWindow="-110" windowWidth="19420" windowHeight="10300" tabRatio="1000" xr2:uid="{D439C9E2-9D00-43FC-94F4-79EC2A09F167}"/>
  </bookViews>
  <sheets>
    <sheet name="PKG仕様 (検討用)" sheetId="34" r:id="rId1"/>
    <sheet name="練習用計算表" sheetId="27" r:id="rId2"/>
    <sheet name="配列検討+テープ規格書チェックシート" sheetId="33" r:id="rId3"/>
    <sheet name="見積もり参考  ～切断" sheetId="28" r:id="rId4"/>
    <sheet name="見積もり参考  ～焼成" sheetId="29" r:id="rId5"/>
    <sheet name="見積もり参考  ～めっき" sheetId="30" r:id="rId6"/>
    <sheet name="見積もり参考  ～後工程" sheetId="31" r:id="rId7"/>
  </sheets>
  <definedNames>
    <definedName name="_xlnm.Print_Area" localSheetId="2">'配列検討+テープ規格書チェックシート'!$A$1:$X$58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7" l="1"/>
  <c r="K13" i="27"/>
  <c r="C6" i="27"/>
  <c r="C36" i="27"/>
  <c r="K36" i="27" s="1"/>
  <c r="C44" i="27"/>
  <c r="E44" i="27"/>
  <c r="C7" i="27"/>
  <c r="C10" i="27"/>
  <c r="C12" i="27"/>
  <c r="C15" i="27"/>
  <c r="C17" i="27"/>
  <c r="C19" i="27"/>
  <c r="C24" i="27"/>
  <c r="C22" i="27"/>
  <c r="E18" i="27"/>
  <c r="C18" i="27"/>
  <c r="K18" i="27"/>
  <c r="C21" i="27"/>
  <c r="C9" i="27"/>
  <c r="C11" i="27"/>
  <c r="C16" i="27"/>
  <c r="D6" i="30"/>
  <c r="D10" i="30"/>
  <c r="C42" i="27"/>
  <c r="E42" i="27"/>
  <c r="V3" i="27"/>
  <c r="X3" i="27"/>
  <c r="Q5" i="27"/>
  <c r="Q6" i="27" s="1"/>
  <c r="S5" i="27"/>
  <c r="S6" i="27" s="1"/>
  <c r="S7" i="27" s="1"/>
  <c r="S9" i="27" s="1"/>
  <c r="S11" i="27" s="1"/>
  <c r="U5" i="27"/>
  <c r="U6" i="27" s="1"/>
  <c r="W5" i="27"/>
  <c r="Y5" i="27"/>
  <c r="E6" i="27"/>
  <c r="H7" i="27"/>
  <c r="F8" i="27"/>
  <c r="E9" i="27"/>
  <c r="E11" i="27"/>
  <c r="W14" i="27"/>
  <c r="E16" i="27"/>
  <c r="C20" i="27"/>
  <c r="E21" i="27"/>
  <c r="K25" i="27"/>
  <c r="K26" i="27"/>
  <c r="K27" i="27"/>
  <c r="K28" i="27"/>
  <c r="C30" i="27"/>
  <c r="K30" i="27"/>
  <c r="V30" i="27"/>
  <c r="K31" i="27"/>
  <c r="F32" i="27"/>
  <c r="K32" i="27" s="1"/>
  <c r="C33" i="27"/>
  <c r="K33" i="27"/>
  <c r="C34" i="27"/>
  <c r="K34" i="27"/>
  <c r="K35" i="27"/>
  <c r="C37" i="27"/>
  <c r="K37" i="27"/>
  <c r="K38" i="27"/>
  <c r="R38" i="27" s="1"/>
  <c r="M38" i="27"/>
  <c r="M37" i="27" s="1"/>
  <c r="C40" i="27"/>
  <c r="L41" i="27"/>
  <c r="F46" i="27"/>
  <c r="F47" i="27"/>
  <c r="F48" i="27"/>
  <c r="Q8" i="27" l="1"/>
  <c r="Q10" i="27" s="1"/>
  <c r="Q12" i="27" s="1"/>
  <c r="Q7" i="27"/>
  <c r="Q9" i="27" s="1"/>
  <c r="Q11" i="27" s="1"/>
  <c r="U8" i="27"/>
  <c r="U10" i="27" s="1"/>
  <c r="U12" i="27" s="1"/>
  <c r="U13" i="27" s="1"/>
  <c r="U14" i="27" s="1"/>
  <c r="U7" i="27"/>
  <c r="U9" i="27" s="1"/>
  <c r="U11" i="27" s="1"/>
  <c r="X37" i="27"/>
  <c r="M36" i="27"/>
  <c r="H23" i="27"/>
  <c r="H6" i="27"/>
  <c r="H8" i="27"/>
  <c r="J5" i="27"/>
  <c r="K5" i="27"/>
  <c r="J6" i="27"/>
  <c r="K6" i="27" s="1"/>
  <c r="X6" i="27" s="1"/>
  <c r="Y6" i="27" s="1"/>
  <c r="J7" i="27"/>
  <c r="K7" i="27" s="1"/>
  <c r="J8" i="27"/>
  <c r="K8" i="27" s="1"/>
  <c r="J9" i="27"/>
  <c r="K9" i="27" s="1"/>
  <c r="J10" i="27"/>
  <c r="K10" i="27" s="1"/>
  <c r="J11" i="27"/>
  <c r="K11" i="27" s="1"/>
  <c r="J12" i="27"/>
  <c r="K12" i="27" s="1"/>
  <c r="J13" i="27"/>
  <c r="J14" i="27"/>
  <c r="K14" i="27" s="1"/>
  <c r="J15" i="27"/>
  <c r="K15" i="27" s="1"/>
  <c r="J16" i="27"/>
  <c r="K16" i="27" s="1"/>
  <c r="J17" i="27"/>
  <c r="K17" i="27" s="1"/>
  <c r="J19" i="27"/>
  <c r="K19" i="27" s="1"/>
  <c r="J20" i="27"/>
  <c r="K20" i="27" s="1"/>
  <c r="J21" i="27"/>
  <c r="K21" i="27" s="1"/>
  <c r="J22" i="27"/>
  <c r="K22" i="27" s="1"/>
  <c r="J23" i="27"/>
  <c r="J24" i="27"/>
  <c r="K24" i="27" s="1"/>
  <c r="Y8" i="27" l="1"/>
  <c r="Y10" i="27" s="1"/>
  <c r="Y12" i="27" s="1"/>
  <c r="Y13" i="27" s="1"/>
  <c r="Y14" i="27" s="1"/>
  <c r="Y15" i="27" s="1"/>
  <c r="Y17" i="27" s="1"/>
  <c r="Y19" i="27" s="1"/>
  <c r="Y20" i="27" s="1"/>
  <c r="Y22" i="27" s="1"/>
  <c r="Y23" i="27" s="1"/>
  <c r="Y24" i="27" s="1"/>
  <c r="Y25" i="27" s="1"/>
  <c r="Y26" i="27" s="1"/>
  <c r="Y27" i="27" s="1"/>
  <c r="Y28" i="27" s="1"/>
  <c r="Y29" i="27" s="1"/>
  <c r="Y30" i="27" s="1"/>
  <c r="Y31" i="27" s="1"/>
  <c r="Y32" i="27" s="1"/>
  <c r="Y34" i="27" s="1"/>
  <c r="Y7" i="27"/>
  <c r="U16" i="27"/>
  <c r="U18" i="27" s="1"/>
  <c r="U15" i="27"/>
  <c r="U17" i="27" s="1"/>
  <c r="U19" i="27" s="1"/>
  <c r="V36" i="27"/>
  <c r="M35" i="27"/>
  <c r="U21" i="27" l="1"/>
  <c r="U20" i="27"/>
  <c r="U22" i="27" s="1"/>
  <c r="N35" i="27"/>
  <c r="M33" i="27"/>
  <c r="M34" i="27"/>
  <c r="V34" i="27" s="1"/>
  <c r="X33" i="27" l="1"/>
  <c r="Y33" i="27" s="1"/>
  <c r="Y35" i="27" s="1"/>
  <c r="Y36" i="27" s="1"/>
  <c r="Y37" i="27" s="1"/>
  <c r="Y38" i="27" s="1"/>
  <c r="Y40" i="27" s="1"/>
  <c r="M32" i="27"/>
  <c r="N32" i="27" l="1"/>
  <c r="M31" i="27"/>
  <c r="N31" i="27" l="1"/>
  <c r="M30" i="27"/>
  <c r="M29" i="27" s="1"/>
  <c r="T29" i="27" l="1"/>
  <c r="M28" i="27"/>
  <c r="M27" i="27" l="1"/>
  <c r="N28" i="27"/>
  <c r="M26" i="27" l="1"/>
  <c r="N27" i="27"/>
  <c r="T26" i="27" l="1"/>
  <c r="M25" i="27"/>
  <c r="N25" i="27" l="1"/>
  <c r="M24" i="27"/>
  <c r="V24" i="27" l="1"/>
  <c r="M23" i="27"/>
  <c r="T23" i="27" l="1"/>
  <c r="U23" i="27" s="1"/>
  <c r="U24" i="27" s="1"/>
  <c r="U25" i="27" s="1"/>
  <c r="U26" i="27" s="1"/>
  <c r="U27" i="27" s="1"/>
  <c r="U28" i="27" s="1"/>
  <c r="U29" i="27" s="1"/>
  <c r="U30" i="27" s="1"/>
  <c r="U31" i="27" s="1"/>
  <c r="U32" i="27" s="1"/>
  <c r="M22" i="27"/>
  <c r="U33" i="27" l="1"/>
  <c r="U35" i="27" s="1"/>
  <c r="U36" i="27" s="1"/>
  <c r="U37" i="27" s="1"/>
  <c r="U38" i="27" s="1"/>
  <c r="U40" i="27" s="1"/>
  <c r="U34" i="27"/>
  <c r="V22" i="27"/>
  <c r="M21" i="27"/>
  <c r="X21" i="27" s="1"/>
  <c r="Y21" i="27" s="1"/>
  <c r="M20" i="27"/>
  <c r="V20" i="27" l="1"/>
  <c r="M19" i="27"/>
  <c r="V19" i="27" l="1"/>
  <c r="M18" i="27"/>
  <c r="X18" i="27" s="1"/>
  <c r="M17" i="27"/>
  <c r="V17" i="27" l="1"/>
  <c r="M16" i="27"/>
  <c r="X16" i="27" s="1"/>
  <c r="Y16" i="27" s="1"/>
  <c r="Y18" i="27" s="1"/>
  <c r="M15" i="27"/>
  <c r="V15" i="27" l="1"/>
  <c r="W15" i="27" s="1"/>
  <c r="W17" i="27" s="1"/>
  <c r="W19" i="27" s="1"/>
  <c r="W20" i="27" s="1"/>
  <c r="W22" i="27" s="1"/>
  <c r="W24" i="27" s="1"/>
  <c r="W25" i="27" s="1"/>
  <c r="W26" i="27" s="1"/>
  <c r="W27" i="27" s="1"/>
  <c r="W28" i="27" s="1"/>
  <c r="W29" i="27" s="1"/>
  <c r="W30" i="27" s="1"/>
  <c r="W31" i="27" s="1"/>
  <c r="W32" i="27" s="1"/>
  <c r="M14" i="27"/>
  <c r="W34" i="27" l="1"/>
  <c r="W33" i="27"/>
  <c r="W35" i="27" s="1"/>
  <c r="W36" i="27" s="1"/>
  <c r="W37" i="27" s="1"/>
  <c r="W38" i="27" s="1"/>
  <c r="W40" i="27" s="1"/>
  <c r="N14" i="27"/>
  <c r="M13" i="27"/>
  <c r="P13" i="27" l="1"/>
  <c r="Q13" i="27" s="1"/>
  <c r="Q14" i="27" s="1"/>
  <c r="M12" i="27"/>
  <c r="Q15" i="27" l="1"/>
  <c r="Q17" i="27" s="1"/>
  <c r="Q19" i="27" s="1"/>
  <c r="Q16" i="27"/>
  <c r="Q18" i="27" s="1"/>
  <c r="V12" i="27"/>
  <c r="M10" i="27"/>
  <c r="M11" i="27"/>
  <c r="X11" i="27" s="1"/>
  <c r="Q20" i="27" l="1"/>
  <c r="Q22" i="27" s="1"/>
  <c r="Q21" i="27"/>
  <c r="V10" i="27"/>
  <c r="W10" i="27" s="1"/>
  <c r="W12" i="27" s="1"/>
  <c r="M9" i="27"/>
  <c r="X9" i="27" s="1"/>
  <c r="Y9" i="27" s="1"/>
  <c r="Y11" i="27" s="1"/>
  <c r="M8" i="27"/>
  <c r="M7" i="27"/>
  <c r="V7" i="27" s="1"/>
  <c r="Q23" i="27" l="1"/>
  <c r="Q24" i="27"/>
  <c r="Q25" i="27" s="1"/>
  <c r="Q26" i="27" s="1"/>
  <c r="Q27" i="27" s="1"/>
  <c r="Q28" i="27" s="1"/>
  <c r="Q29" i="27" s="1"/>
  <c r="Q30" i="27" s="1"/>
  <c r="Q31" i="27" s="1"/>
  <c r="Q32" i="27" s="1"/>
  <c r="R8" i="27"/>
  <c r="S8" i="27" s="1"/>
  <c r="S10" i="27" s="1"/>
  <c r="S12" i="27" s="1"/>
  <c r="S13" i="27" s="1"/>
  <c r="S14" i="27" s="1"/>
  <c r="M6" i="27"/>
  <c r="Q33" i="27" l="1"/>
  <c r="Q35" i="27" s="1"/>
  <c r="Q36" i="27" s="1"/>
  <c r="Q37" i="27" s="1"/>
  <c r="Q38" i="27" s="1"/>
  <c r="Q40" i="27" s="1"/>
  <c r="Q34" i="27"/>
  <c r="S15" i="27"/>
  <c r="S17" i="27" s="1"/>
  <c r="S19" i="27" s="1"/>
  <c r="S16" i="27"/>
  <c r="S18" i="27" s="1"/>
  <c r="W6" i="27"/>
  <c r="W7" i="27" s="1"/>
  <c r="M5" i="27"/>
  <c r="N5" i="27" s="1"/>
  <c r="O5" i="27" s="1"/>
  <c r="O6" i="27" s="1"/>
  <c r="S20" i="27" l="1"/>
  <c r="S22" i="27" s="1"/>
  <c r="S21" i="27"/>
  <c r="O7" i="27"/>
  <c r="O9" i="27" s="1"/>
  <c r="O11" i="27" s="1"/>
  <c r="O8" i="27"/>
  <c r="O10" i="27" s="1"/>
  <c r="O12" i="27" s="1"/>
  <c r="O13" i="27" s="1"/>
  <c r="O14" i="27" s="1"/>
  <c r="S23" i="27" l="1"/>
  <c r="S24" i="27"/>
  <c r="S25" i="27" s="1"/>
  <c r="S26" i="27" s="1"/>
  <c r="S27" i="27" s="1"/>
  <c r="S28" i="27" s="1"/>
  <c r="S29" i="27" s="1"/>
  <c r="S30" i="27" s="1"/>
  <c r="S31" i="27" s="1"/>
  <c r="S32" i="27" s="1"/>
  <c r="O15" i="27"/>
  <c r="O17" i="27" s="1"/>
  <c r="O19" i="27" s="1"/>
  <c r="O16" i="27"/>
  <c r="O18" i="27" s="1"/>
  <c r="S33" i="27" l="1"/>
  <c r="S35" i="27" s="1"/>
  <c r="S36" i="27" s="1"/>
  <c r="S37" i="27" s="1"/>
  <c r="S38" i="27" s="1"/>
  <c r="S40" i="27" s="1"/>
  <c r="S34" i="27"/>
  <c r="O20" i="27"/>
  <c r="O22" i="27" s="1"/>
  <c r="O21" i="27"/>
  <c r="O23" i="27" l="1"/>
  <c r="O24" i="27"/>
  <c r="O25" i="27" s="1"/>
  <c r="O26" i="27" s="1"/>
  <c r="O27" i="27" s="1"/>
  <c r="O28" i="27" s="1"/>
  <c r="O29" i="27" s="1"/>
  <c r="O30" i="27" s="1"/>
  <c r="O31" i="27" s="1"/>
  <c r="O32" i="27" s="1"/>
  <c r="O33" i="27" l="1"/>
  <c r="O35" i="27" s="1"/>
  <c r="O36" i="27" s="1"/>
  <c r="O37" i="27" s="1"/>
  <c r="O38" i="27" s="1"/>
  <c r="O40" i="27" s="1"/>
  <c r="L40" i="27" s="1"/>
  <c r="O34" i="27"/>
  <c r="L45" i="27" l="1"/>
  <c r="L44" i="27"/>
  <c r="L4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Maehara Tadatomo　( 前原　忠智 )</author>
  </authors>
  <commentList>
    <comment ref="C6" authorId="0" shapeId="0" xr:uid="{195E27A1-95D9-4020-AAE8-6089711D8275}">
      <text>
        <r>
          <rPr>
            <sz val="9"/>
            <color indexed="81"/>
            <rFont val="MS P ゴシック"/>
            <family val="3"/>
            <charset val="128"/>
          </rPr>
          <t>セット時間　15分
なので時間単価を1/4にしてます。</t>
        </r>
      </text>
    </comment>
    <comment ref="C9" authorId="0" shapeId="0" xr:uid="{B5E3C508-B71F-449C-A8DB-22FABB439737}">
      <text>
        <r>
          <rPr>
            <b/>
            <sz val="9"/>
            <color indexed="81"/>
            <rFont val="MS P ゴシック"/>
            <family val="3"/>
            <charset val="128"/>
          </rPr>
          <t>セット時間　30分
なので時間単価を1/2にしてます。: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F13" authorId="0" shapeId="0" xr:uid="{CAF3F4E7-81CF-47B3-BF0D-7DFFD7CD56A9}">
      <text>
        <r>
          <rPr>
            <sz val="9"/>
            <color indexed="81"/>
            <rFont val="MS P ゴシック"/>
            <family val="3"/>
            <charset val="128"/>
          </rPr>
          <t xml:space="preserve">1層あたり500セットで使うインク代
</t>
        </r>
      </text>
    </comment>
    <comment ref="E14" authorId="0" shapeId="0" xr:uid="{49E17051-CC88-43E1-9269-22DA2142C4BD}">
      <text>
        <r>
          <rPr>
            <sz val="9"/>
            <color indexed="81"/>
            <rFont val="MS P ゴシック"/>
            <family val="3"/>
            <charset val="128"/>
          </rPr>
          <t xml:space="preserve">新品の製版で使用できる回数
</t>
        </r>
      </text>
    </comment>
    <comment ref="B22" authorId="0" shapeId="0" xr:uid="{2CD2DBCE-8E85-4E49-A3D6-578AD8A99847}">
      <text>
        <r>
          <rPr>
            <sz val="9"/>
            <color indexed="81"/>
            <rFont val="MS P ゴシック"/>
            <family val="3"/>
            <charset val="128"/>
          </rPr>
          <t xml:space="preserve">スナップは工程として
表２回、裏２回の計４工程
</t>
        </r>
      </text>
    </comment>
  </commentList>
</comments>
</file>

<file path=xl/sharedStrings.xml><?xml version="1.0" encoding="utf-8"?>
<sst xmlns="http://schemas.openxmlformats.org/spreadsheetml/2006/main" count="499" uniqueCount="367">
  <si>
    <t>層数</t>
  </si>
  <si>
    <t>加圧</t>
  </si>
  <si>
    <t>客先</t>
  </si>
  <si>
    <t>取り数</t>
  </si>
  <si>
    <t>品名</t>
  </si>
  <si>
    <t>x</t>
  </si>
  <si>
    <t>時間当</t>
  </si>
  <si>
    <t>no</t>
  </si>
  <si>
    <t>時間当り処理数</t>
  </si>
  <si>
    <t xml:space="preserve"> ﾀﾝｶ</t>
  </si>
  <si>
    <t>ｶｲｽｳ</t>
  </si>
  <si>
    <t>取数</t>
  </si>
  <si>
    <t>ｼｮｳｹｲ</t>
  </si>
  <si>
    <t>歩留</t>
  </si>
  <si>
    <t>社内買い</t>
  </si>
  <si>
    <t>原材料</t>
  </si>
  <si>
    <t>その他</t>
  </si>
  <si>
    <t>内職協工</t>
  </si>
  <si>
    <t>パート</t>
  </si>
  <si>
    <t>社員</t>
  </si>
  <si>
    <t>/</t>
  </si>
  <si>
    <t>ﾜｸﾊﾞﾘ</t>
  </si>
  <si>
    <t xml:space="preserve">   ｾﾛﾃｰﾌﾟ</t>
  </si>
  <si>
    <t>ｳﾁﾇｷ</t>
  </si>
  <si>
    <t>ﾌﾟﾘﾝﾄ</t>
  </si>
  <si>
    <t>ﾌﾟﾘﾝﾄｲﾝｸ</t>
  </si>
  <si>
    <t>ﾌﾟﾘﾝﾄｾｲﾊﾝ</t>
  </si>
  <si>
    <t>導通</t>
  </si>
  <si>
    <t>ﾜｸﾊｽﾞｼ</t>
  </si>
  <si>
    <t>ｽﾅｯﾌﾟ</t>
  </si>
  <si>
    <t>ﾜｸｼｮﾘ</t>
  </si>
  <si>
    <t>切断</t>
  </si>
  <si>
    <t>ｼｮｳｾｲ</t>
  </si>
  <si>
    <t>w/j</t>
  </si>
  <si>
    <t>Niﾒｯｷ</t>
  </si>
  <si>
    <t>ｼﾝﾀｰ</t>
  </si>
  <si>
    <t>ｽﾅｯﾌﾟ割</t>
  </si>
  <si>
    <t>O/S</t>
  </si>
  <si>
    <t xml:space="preserve"> </t>
  </si>
  <si>
    <t>Au代</t>
  </si>
  <si>
    <t>ﾘｰｸ</t>
  </si>
  <si>
    <t>IPA</t>
  </si>
  <si>
    <t>4th chk</t>
  </si>
  <si>
    <t>出荷</t>
  </si>
  <si>
    <t>　層　数</t>
  </si>
  <si>
    <t>外形（焼）</t>
  </si>
  <si>
    <t>外形（生）</t>
  </si>
  <si>
    <t>BLK（焼）</t>
  </si>
  <si>
    <t>BLK（生）</t>
  </si>
  <si>
    <t>　BLK当</t>
  </si>
  <si>
    <t>　BLK数</t>
  </si>
  <si>
    <t>歩留り</t>
  </si>
  <si>
    <t>ｱﾚｲｻｲｽﾞ50.8X50.8</t>
  </si>
  <si>
    <t>Au面積 1.7cm2</t>
    <phoneticPr fontId="5"/>
  </si>
  <si>
    <t>直接原価</t>
    <rPh sb="0" eb="2">
      <t>チョクセツ</t>
    </rPh>
    <rPh sb="2" eb="4">
      <t>ゲンカ</t>
    </rPh>
    <phoneticPr fontId="5"/>
  </si>
  <si>
    <t>小計</t>
    <rPh sb="0" eb="2">
      <t>ショウケイ</t>
    </rPh>
    <phoneticPr fontId="5"/>
  </si>
  <si>
    <t>製造原価</t>
    <rPh sb="0" eb="2">
      <t>セイゾウ</t>
    </rPh>
    <rPh sb="2" eb="4">
      <t>ゲンカ</t>
    </rPh>
    <phoneticPr fontId="5"/>
  </si>
  <si>
    <t>間接費</t>
    <rPh sb="0" eb="2">
      <t>カンセツ</t>
    </rPh>
    <rPh sb="2" eb="3">
      <t>ヒ</t>
    </rPh>
    <phoneticPr fontId="5"/>
  </si>
  <si>
    <t>BY11</t>
    <phoneticPr fontId="5"/>
  </si>
  <si>
    <t>SMD</t>
    <phoneticPr fontId="5"/>
  </si>
  <si>
    <t>投入</t>
    <rPh sb="0" eb="2">
      <t>トウニュウ</t>
    </rPh>
    <phoneticPr fontId="5"/>
  </si>
  <si>
    <t>台/人</t>
    <phoneticPr fontId="5"/>
  </si>
  <si>
    <t>工程</t>
    <rPh sb="0" eb="2">
      <t>コウテイ</t>
    </rPh>
    <phoneticPr fontId="5"/>
  </si>
  <si>
    <t>仕様</t>
    <rPh sb="0" eb="2">
      <t>シヨウ</t>
    </rPh>
    <phoneticPr fontId="5"/>
  </si>
  <si>
    <t>工程処理数or参考単価or計算式</t>
    <rPh sb="0" eb="2">
      <t>コウテイ</t>
    </rPh>
    <rPh sb="2" eb="4">
      <t>ショリ</t>
    </rPh>
    <rPh sb="4" eb="5">
      <t>スウ</t>
    </rPh>
    <rPh sb="7" eb="9">
      <t>サンコウ</t>
    </rPh>
    <rPh sb="9" eb="11">
      <t>タンカ</t>
    </rPh>
    <rPh sb="13" eb="15">
      <t>ケイサン</t>
    </rPh>
    <rPh sb="15" eb="16">
      <t>シキ</t>
    </rPh>
    <phoneticPr fontId="5"/>
  </si>
  <si>
    <t>備考</t>
    <rPh sb="0" eb="2">
      <t>ビコウ</t>
    </rPh>
    <phoneticPr fontId="5"/>
  </si>
  <si>
    <t>テープ代</t>
    <rPh sb="3" eb="4">
      <t>ダイ</t>
    </rPh>
    <phoneticPr fontId="5"/>
  </si>
  <si>
    <t>一枚</t>
    <rPh sb="0" eb="2">
      <t>イチマイ</t>
    </rPh>
    <phoneticPr fontId="5"/>
  </si>
  <si>
    <t>テープサイズ  x テープサイズ　ｘ　材料別　厚み係数</t>
    <rPh sb="19" eb="21">
      <t>ザイリョウ</t>
    </rPh>
    <rPh sb="21" eb="22">
      <t>ベツ</t>
    </rPh>
    <rPh sb="23" eb="24">
      <t>アツ</t>
    </rPh>
    <rPh sb="25" eb="27">
      <t>ケイスウ</t>
    </rPh>
    <phoneticPr fontId="5"/>
  </si>
  <si>
    <t>セロテープ</t>
    <phoneticPr fontId="5"/>
  </si>
  <si>
    <t>枠張り用</t>
    <rPh sb="0" eb="1">
      <t>ワク</t>
    </rPh>
    <rPh sb="1" eb="2">
      <t>バ</t>
    </rPh>
    <rPh sb="3" eb="4">
      <t>ヨウ</t>
    </rPh>
    <phoneticPr fontId="5"/>
  </si>
  <si>
    <t>打ち抜き</t>
    <rPh sb="0" eb="1">
      <t>ウ</t>
    </rPh>
    <rPh sb="2" eb="3">
      <t>ヌ</t>
    </rPh>
    <phoneticPr fontId="5"/>
  </si>
  <si>
    <t>金型</t>
    <rPh sb="0" eb="2">
      <t>カナガタ</t>
    </rPh>
    <phoneticPr fontId="5"/>
  </si>
  <si>
    <t>NC　　VIA</t>
    <phoneticPr fontId="5"/>
  </si>
  <si>
    <t>NC　　CAV</t>
    <phoneticPr fontId="5"/>
  </si>
  <si>
    <t>１秒/１回</t>
    <rPh sb="1" eb="2">
      <t>ビョウ</t>
    </rPh>
    <rPh sb="4" eb="5">
      <t>カイ</t>
    </rPh>
    <phoneticPr fontId="5"/>
  </si>
  <si>
    <t>パンチング</t>
    <phoneticPr fontId="5"/>
  </si>
  <si>
    <t>MPS</t>
    <phoneticPr fontId="5"/>
  </si>
  <si>
    <t>高速MPS</t>
    <rPh sb="0" eb="2">
      <t>コウソク</t>
    </rPh>
    <phoneticPr fontId="5"/>
  </si>
  <si>
    <t>ギャング</t>
    <phoneticPr fontId="5"/>
  </si>
  <si>
    <t>250～350回/3600秒</t>
    <rPh sb="7" eb="8">
      <t>カイ</t>
    </rPh>
    <rPh sb="13" eb="14">
      <t>ビョウ</t>
    </rPh>
    <phoneticPr fontId="5"/>
  </si>
  <si>
    <t>使用長さ　ｘ　0.0055円(ｃｍ当たりの単価)</t>
    <rPh sb="0" eb="2">
      <t>シヨウ</t>
    </rPh>
    <rPh sb="2" eb="3">
      <t>ナガ</t>
    </rPh>
    <rPh sb="13" eb="14">
      <t>エン</t>
    </rPh>
    <rPh sb="17" eb="18">
      <t>ア</t>
    </rPh>
    <rPh sb="21" eb="23">
      <t>タンカ</t>
    </rPh>
    <phoneticPr fontId="5"/>
  </si>
  <si>
    <t>0.5秒/１回</t>
    <rPh sb="3" eb="4">
      <t>ビョウ</t>
    </rPh>
    <rPh sb="6" eb="7">
      <t>カイ</t>
    </rPh>
    <phoneticPr fontId="5"/>
  </si>
  <si>
    <t>150～250回/3600秒</t>
    <rPh sb="7" eb="8">
      <t>カイ</t>
    </rPh>
    <rPh sb="13" eb="14">
      <t>ビョウ</t>
    </rPh>
    <phoneticPr fontId="5"/>
  </si>
  <si>
    <t>0.25秒/１回</t>
    <rPh sb="4" eb="5">
      <t>ビョウ</t>
    </rPh>
    <rPh sb="7" eb="8">
      <t>カイ</t>
    </rPh>
    <phoneticPr fontId="5"/>
  </si>
  <si>
    <t>0.065秒/１回</t>
    <rPh sb="5" eb="6">
      <t>ビョウ</t>
    </rPh>
    <rPh sb="8" eb="9">
      <t>カイ</t>
    </rPh>
    <phoneticPr fontId="5"/>
  </si>
  <si>
    <t>5秒/１回</t>
    <rPh sb="1" eb="2">
      <t>ビョウ</t>
    </rPh>
    <rPh sb="4" eb="5">
      <t>カイ</t>
    </rPh>
    <phoneticPr fontId="5"/>
  </si>
  <si>
    <t>埋め込み</t>
    <rPh sb="0" eb="1">
      <t>ウ</t>
    </rPh>
    <rPh sb="2" eb="3">
      <t>コ</t>
    </rPh>
    <phoneticPr fontId="5"/>
  </si>
  <si>
    <t>インク代</t>
    <rPh sb="3" eb="4">
      <t>ダイ</t>
    </rPh>
    <phoneticPr fontId="5"/>
  </si>
  <si>
    <t>アルミナ　15円/1回</t>
    <rPh sb="7" eb="8">
      <t>エン</t>
    </rPh>
    <rPh sb="10" eb="11">
      <t>カイ</t>
    </rPh>
    <phoneticPr fontId="5"/>
  </si>
  <si>
    <t>プリント</t>
    <phoneticPr fontId="5"/>
  </si>
  <si>
    <t>LTCC　　　75円/1回</t>
    <rPh sb="9" eb="10">
      <t>エン</t>
    </rPh>
    <rPh sb="12" eb="13">
      <t>カイ</t>
    </rPh>
    <phoneticPr fontId="5"/>
  </si>
  <si>
    <t>製版代</t>
    <rPh sb="0" eb="2">
      <t>セイハン</t>
    </rPh>
    <rPh sb="2" eb="3">
      <t>ダイ</t>
    </rPh>
    <phoneticPr fontId="5"/>
  </si>
  <si>
    <t>加圧</t>
    <rPh sb="0" eb="2">
      <t>カアツ</t>
    </rPh>
    <phoneticPr fontId="5"/>
  </si>
  <si>
    <t>300～400回/3600秒</t>
    <rPh sb="7" eb="8">
      <t>カイ</t>
    </rPh>
    <rPh sb="13" eb="14">
      <t>ビョウ</t>
    </rPh>
    <phoneticPr fontId="5"/>
  </si>
  <si>
    <t>積層</t>
    <rPh sb="0" eb="2">
      <t>セキソウ</t>
    </rPh>
    <phoneticPr fontId="5"/>
  </si>
  <si>
    <t>50セット/3600秒</t>
    <rPh sb="10" eb="11">
      <t>ビョウ</t>
    </rPh>
    <phoneticPr fontId="5"/>
  </si>
  <si>
    <t>5層タイプ</t>
    <rPh sb="1" eb="2">
      <t>ソウ</t>
    </rPh>
    <phoneticPr fontId="5"/>
  </si>
  <si>
    <t>密着液</t>
    <rPh sb="0" eb="2">
      <t>ミッチャク</t>
    </rPh>
    <rPh sb="2" eb="3">
      <t>エキ</t>
    </rPh>
    <phoneticPr fontId="5"/>
  </si>
  <si>
    <t>静水圧加圧</t>
    <rPh sb="0" eb="2">
      <t>セイスイ</t>
    </rPh>
    <rPh sb="2" eb="3">
      <t>アツ</t>
    </rPh>
    <rPh sb="3" eb="5">
      <t>カアツ</t>
    </rPh>
    <phoneticPr fontId="5"/>
  </si>
  <si>
    <t>シングル</t>
    <phoneticPr fontId="5"/>
  </si>
  <si>
    <t>ダブル</t>
    <phoneticPr fontId="5"/>
  </si>
  <si>
    <t>25セット/3600秒</t>
    <rPh sb="10" eb="11">
      <t>ビョウ</t>
    </rPh>
    <phoneticPr fontId="5"/>
  </si>
  <si>
    <t>枠外し</t>
    <rPh sb="0" eb="1">
      <t>ワク</t>
    </rPh>
    <rPh sb="1" eb="2">
      <t>ハズ</t>
    </rPh>
    <phoneticPr fontId="5"/>
  </si>
  <si>
    <t>枠処理</t>
    <rPh sb="0" eb="1">
      <t>ワク</t>
    </rPh>
    <rPh sb="1" eb="3">
      <t>ショリ</t>
    </rPh>
    <phoneticPr fontId="5"/>
  </si>
  <si>
    <t>300～400セット/3600秒</t>
    <rPh sb="15" eb="16">
      <t>ビョウ</t>
    </rPh>
    <phoneticPr fontId="5"/>
  </si>
  <si>
    <t>スナップ</t>
    <phoneticPr fontId="5"/>
  </si>
  <si>
    <t>切断</t>
    <rPh sb="0" eb="2">
      <t>セツダン</t>
    </rPh>
    <phoneticPr fontId="5"/>
  </si>
  <si>
    <t>75～150セット/3600秒</t>
    <rPh sb="14" eb="15">
      <t>ビョウ</t>
    </rPh>
    <phoneticPr fontId="5"/>
  </si>
  <si>
    <t>端面印刷</t>
    <rPh sb="0" eb="2">
      <t>タンメン</t>
    </rPh>
    <rPh sb="2" eb="4">
      <t>インサツ</t>
    </rPh>
    <phoneticPr fontId="5"/>
  </si>
  <si>
    <t>焼成</t>
    <rPh sb="0" eb="2">
      <t>ショウセイ</t>
    </rPh>
    <phoneticPr fontId="5"/>
  </si>
  <si>
    <t>アルミナ</t>
    <phoneticPr fontId="5"/>
  </si>
  <si>
    <t>747円/棚</t>
    <rPh sb="3" eb="4">
      <t>エン</t>
    </rPh>
    <rPh sb="5" eb="6">
      <t>タナ</t>
    </rPh>
    <phoneticPr fontId="5"/>
  </si>
  <si>
    <t>計算式</t>
    <rPh sb="0" eb="2">
      <t>ケイサン</t>
    </rPh>
    <rPh sb="2" eb="3">
      <t>シキ</t>
    </rPh>
    <phoneticPr fontId="5"/>
  </si>
  <si>
    <t>1200円/棚</t>
    <rPh sb="4" eb="5">
      <t>エン</t>
    </rPh>
    <rPh sb="6" eb="7">
      <t>タナ</t>
    </rPh>
    <phoneticPr fontId="5"/>
  </si>
  <si>
    <t>1200/(280/(生サイズ+2)) x (280/(生サイズ+2))</t>
    <rPh sb="12" eb="13">
      <t>ナマ</t>
    </rPh>
    <rPh sb="29" eb="30">
      <t>ナマ</t>
    </rPh>
    <phoneticPr fontId="5"/>
  </si>
  <si>
    <t>バッチ炉焼成</t>
    <rPh sb="3" eb="4">
      <t>ロ</t>
    </rPh>
    <rPh sb="4" eb="6">
      <t>ショウセイ</t>
    </rPh>
    <phoneticPr fontId="5"/>
  </si>
  <si>
    <t>アルミナ</t>
    <phoneticPr fontId="5"/>
  </si>
  <si>
    <t>W/J</t>
    <phoneticPr fontId="5"/>
  </si>
  <si>
    <t>J/S</t>
    <phoneticPr fontId="5"/>
  </si>
  <si>
    <t>ｳｵｰﾀｰｼﾞｪｯﾄ</t>
    <phoneticPr fontId="5"/>
  </si>
  <si>
    <t>ｼﾞｪｯﾄｽｸﾗﾌﾞ</t>
    <phoneticPr fontId="5"/>
  </si>
  <si>
    <t>時間処理数にる　⇒　加治木に見積もり</t>
    <rPh sb="0" eb="2">
      <t>ジカン</t>
    </rPh>
    <rPh sb="2" eb="4">
      <t>ショリ</t>
    </rPh>
    <rPh sb="4" eb="5">
      <t>スウ</t>
    </rPh>
    <rPh sb="10" eb="13">
      <t>カジキ</t>
    </rPh>
    <rPh sb="14" eb="16">
      <t>ミツ</t>
    </rPh>
    <phoneticPr fontId="5"/>
  </si>
  <si>
    <t>1,２次検査</t>
    <rPh sb="3" eb="4">
      <t>ジ</t>
    </rPh>
    <rPh sb="4" eb="6">
      <t>ケンサ</t>
    </rPh>
    <phoneticPr fontId="5"/>
  </si>
  <si>
    <t>200個～300個/3600秒</t>
    <rPh sb="3" eb="4">
      <t>コ</t>
    </rPh>
    <rPh sb="8" eb="9">
      <t>コ</t>
    </rPh>
    <rPh sb="14" eb="15">
      <t>ビョウ</t>
    </rPh>
    <phoneticPr fontId="5"/>
  </si>
  <si>
    <t>組立</t>
    <rPh sb="0" eb="2">
      <t>クミタテ</t>
    </rPh>
    <phoneticPr fontId="5"/>
  </si>
  <si>
    <t>セット</t>
    <phoneticPr fontId="5"/>
  </si>
  <si>
    <t>リード曲げ</t>
    <rPh sb="3" eb="4">
      <t>マ</t>
    </rPh>
    <phoneticPr fontId="5"/>
  </si>
  <si>
    <t>Agﾛ-代</t>
    <rPh sb="4" eb="5">
      <t>ダイ</t>
    </rPh>
    <phoneticPr fontId="5"/>
  </si>
  <si>
    <t>Br（焼成)</t>
    <rPh sb="3" eb="5">
      <t>ショウセイ</t>
    </rPh>
    <phoneticPr fontId="5"/>
  </si>
  <si>
    <t>シンター</t>
    <phoneticPr fontId="5"/>
  </si>
  <si>
    <t>342円/棚</t>
    <rPh sb="3" eb="4">
      <t>エン</t>
    </rPh>
    <rPh sb="5" eb="6">
      <t>タナ</t>
    </rPh>
    <phoneticPr fontId="5"/>
  </si>
  <si>
    <t>ブラスト</t>
    <phoneticPr fontId="5"/>
  </si>
  <si>
    <t>３次検査</t>
    <rPh sb="1" eb="2">
      <t>ジ</t>
    </rPh>
    <rPh sb="2" eb="4">
      <t>ケンサ</t>
    </rPh>
    <phoneticPr fontId="5"/>
  </si>
  <si>
    <t>斜光検査</t>
    <rPh sb="0" eb="2">
      <t>シャコウ</t>
    </rPh>
    <rPh sb="2" eb="4">
      <t>ケンサ</t>
    </rPh>
    <phoneticPr fontId="5"/>
  </si>
  <si>
    <t>ブク検査</t>
    <rPh sb="2" eb="4">
      <t>ケンサ</t>
    </rPh>
    <phoneticPr fontId="5"/>
  </si>
  <si>
    <r>
      <t>見積もり用の基本の工程処理数と参考単価　</t>
    </r>
    <r>
      <rPr>
        <b/>
        <sz val="14"/>
        <rFont val="ＭＳ Ｐゴシック"/>
        <family val="3"/>
        <charset val="128"/>
      </rPr>
      <t>-焼成-</t>
    </r>
    <rPh sb="0" eb="2">
      <t>ミツ</t>
    </rPh>
    <rPh sb="4" eb="5">
      <t>ヨウ</t>
    </rPh>
    <rPh sb="6" eb="8">
      <t>キホン</t>
    </rPh>
    <rPh sb="9" eb="11">
      <t>コウテイ</t>
    </rPh>
    <rPh sb="11" eb="13">
      <t>ショリ</t>
    </rPh>
    <rPh sb="13" eb="14">
      <t>スウ</t>
    </rPh>
    <rPh sb="15" eb="17">
      <t>サンコウ</t>
    </rPh>
    <rPh sb="17" eb="19">
      <t>タンカ</t>
    </rPh>
    <rPh sb="21" eb="23">
      <t>ショウセイ</t>
    </rPh>
    <phoneticPr fontId="5"/>
  </si>
  <si>
    <r>
      <t>見積もり用の基本の工程処理数と参考単価　</t>
    </r>
    <r>
      <rPr>
        <b/>
        <sz val="14"/>
        <rFont val="ＭＳ Ｐゴシック"/>
        <family val="3"/>
        <charset val="128"/>
      </rPr>
      <t>-めっき-</t>
    </r>
    <rPh sb="0" eb="2">
      <t>ミツ</t>
    </rPh>
    <rPh sb="4" eb="5">
      <t>ヨウ</t>
    </rPh>
    <rPh sb="6" eb="8">
      <t>キホン</t>
    </rPh>
    <rPh sb="9" eb="11">
      <t>コウテイ</t>
    </rPh>
    <rPh sb="11" eb="13">
      <t>ショリ</t>
    </rPh>
    <rPh sb="13" eb="14">
      <t>スウ</t>
    </rPh>
    <rPh sb="15" eb="17">
      <t>サンコウ</t>
    </rPh>
    <rPh sb="17" eb="19">
      <t>タンカ</t>
    </rPh>
    <phoneticPr fontId="5"/>
  </si>
  <si>
    <r>
      <t>見積もり用の基本の工程処理数と参考単価　</t>
    </r>
    <r>
      <rPr>
        <b/>
        <sz val="14"/>
        <rFont val="ＭＳ Ｐゴシック"/>
        <family val="3"/>
        <charset val="128"/>
      </rPr>
      <t>-検査/後工程-</t>
    </r>
    <rPh sb="0" eb="2">
      <t>ミツ</t>
    </rPh>
    <rPh sb="4" eb="5">
      <t>ヨウ</t>
    </rPh>
    <rPh sb="6" eb="8">
      <t>キホン</t>
    </rPh>
    <rPh sb="9" eb="11">
      <t>コウテイ</t>
    </rPh>
    <rPh sb="11" eb="13">
      <t>ショリ</t>
    </rPh>
    <rPh sb="13" eb="14">
      <t>スウ</t>
    </rPh>
    <rPh sb="15" eb="17">
      <t>サンコウ</t>
    </rPh>
    <rPh sb="17" eb="19">
      <t>タンカ</t>
    </rPh>
    <rPh sb="21" eb="23">
      <t>ケンサ</t>
    </rPh>
    <rPh sb="24" eb="25">
      <t>ウシ</t>
    </rPh>
    <rPh sb="25" eb="27">
      <t>コウテイ</t>
    </rPh>
    <phoneticPr fontId="5"/>
  </si>
  <si>
    <t>100個～500個/3600秒</t>
    <rPh sb="3" eb="4">
      <t>コ</t>
    </rPh>
    <rPh sb="8" eb="9">
      <t>コ</t>
    </rPh>
    <rPh sb="14" eb="15">
      <t>ビョウ</t>
    </rPh>
    <phoneticPr fontId="5"/>
  </si>
  <si>
    <t>0.03～12円/本</t>
    <rPh sb="7" eb="8">
      <t>エン</t>
    </rPh>
    <rPh sb="9" eb="10">
      <t>ホン</t>
    </rPh>
    <phoneticPr fontId="5"/>
  </si>
  <si>
    <t>PGAピン単価</t>
    <rPh sb="5" eb="7">
      <t>タンカ</t>
    </rPh>
    <phoneticPr fontId="5"/>
  </si>
  <si>
    <t>QFPリード単価</t>
    <rPh sb="6" eb="8">
      <t>タンカ</t>
    </rPh>
    <phoneticPr fontId="5"/>
  </si>
  <si>
    <t>50～300円/本</t>
    <rPh sb="6" eb="7">
      <t>エン</t>
    </rPh>
    <rPh sb="8" eb="9">
      <t>ホン</t>
    </rPh>
    <phoneticPr fontId="5"/>
  </si>
  <si>
    <t>5～100円/個</t>
    <rPh sb="5" eb="6">
      <t>エン</t>
    </rPh>
    <rPh sb="7" eb="8">
      <t>コ</t>
    </rPh>
    <phoneticPr fontId="5"/>
  </si>
  <si>
    <t>360円/棚</t>
    <rPh sb="3" eb="4">
      <t>エン</t>
    </rPh>
    <rPh sb="5" eb="6">
      <t>タナ</t>
    </rPh>
    <phoneticPr fontId="5"/>
  </si>
  <si>
    <t>260X260mmにくつ乗るのか</t>
    <rPh sb="12" eb="13">
      <t>ノ</t>
    </rPh>
    <phoneticPr fontId="5"/>
  </si>
  <si>
    <t>360/260mmSQに乗る個数</t>
    <rPh sb="12" eb="13">
      <t>ノ</t>
    </rPh>
    <rPh sb="14" eb="16">
      <t>コスウ</t>
    </rPh>
    <phoneticPr fontId="5"/>
  </si>
  <si>
    <t>200個～500個/3600秒</t>
    <rPh sb="3" eb="4">
      <t>コ</t>
    </rPh>
    <rPh sb="8" eb="9">
      <t>コ</t>
    </rPh>
    <rPh sb="14" eb="15">
      <t>ビョウ</t>
    </rPh>
    <phoneticPr fontId="5"/>
  </si>
  <si>
    <t>300個～500個/3600秒</t>
    <rPh sb="3" eb="4">
      <t>コ</t>
    </rPh>
    <rPh sb="8" eb="9">
      <t>コ</t>
    </rPh>
    <rPh sb="14" eb="15">
      <t>ビョウ</t>
    </rPh>
    <phoneticPr fontId="5"/>
  </si>
  <si>
    <t>端面研磨</t>
    <rPh sb="0" eb="2">
      <t>タンメン</t>
    </rPh>
    <rPh sb="2" eb="4">
      <t>ケンマ</t>
    </rPh>
    <phoneticPr fontId="5"/>
  </si>
  <si>
    <t>電気チェック</t>
    <rPh sb="0" eb="2">
      <t>デンキ</t>
    </rPh>
    <phoneticPr fontId="5"/>
  </si>
  <si>
    <t>IPA処理</t>
    <rPh sb="3" eb="5">
      <t>ショリ</t>
    </rPh>
    <phoneticPr fontId="5"/>
  </si>
  <si>
    <t>リーク</t>
    <phoneticPr fontId="5"/>
  </si>
  <si>
    <t>真空ベーク</t>
    <rPh sb="0" eb="2">
      <t>シンクウ</t>
    </rPh>
    <phoneticPr fontId="5"/>
  </si>
  <si>
    <t>界面活性処理</t>
    <rPh sb="0" eb="2">
      <t>カイメン</t>
    </rPh>
    <rPh sb="2" eb="4">
      <t>カッセイ</t>
    </rPh>
    <rPh sb="4" eb="6">
      <t>ショリ</t>
    </rPh>
    <phoneticPr fontId="5"/>
  </si>
  <si>
    <t>スナップ割</t>
    <rPh sb="4" eb="5">
      <t>ワリ</t>
    </rPh>
    <phoneticPr fontId="5"/>
  </si>
  <si>
    <t>リード修正</t>
    <rPh sb="3" eb="5">
      <t>シュウセイ</t>
    </rPh>
    <phoneticPr fontId="5"/>
  </si>
  <si>
    <t>４次検査</t>
    <rPh sb="1" eb="2">
      <t>ジ</t>
    </rPh>
    <rPh sb="2" eb="4">
      <t>ケンサ</t>
    </rPh>
    <phoneticPr fontId="5"/>
  </si>
  <si>
    <t>トレー代</t>
    <rPh sb="3" eb="4">
      <t>ダイ</t>
    </rPh>
    <phoneticPr fontId="5"/>
  </si>
  <si>
    <t>出荷作業</t>
    <rPh sb="0" eb="2">
      <t>シュッカ</t>
    </rPh>
    <rPh sb="2" eb="4">
      <t>サギョウ</t>
    </rPh>
    <phoneticPr fontId="5"/>
  </si>
  <si>
    <t>QA抜き取り</t>
    <rPh sb="2" eb="3">
      <t>ヌ</t>
    </rPh>
    <rPh sb="4" eb="5">
      <t>ト</t>
    </rPh>
    <phoneticPr fontId="5"/>
  </si>
  <si>
    <t>300～500個/3600秒</t>
    <rPh sb="7" eb="8">
      <t>コ</t>
    </rPh>
    <rPh sb="13" eb="14">
      <t>ビョウ</t>
    </rPh>
    <phoneticPr fontId="5"/>
  </si>
  <si>
    <t>1～5円/個</t>
    <rPh sb="3" eb="4">
      <t>エン</t>
    </rPh>
    <rPh sb="5" eb="6">
      <t>コ</t>
    </rPh>
    <phoneticPr fontId="5"/>
  </si>
  <si>
    <t>100～700個/3600秒</t>
    <rPh sb="7" eb="8">
      <t>コ</t>
    </rPh>
    <rPh sb="13" eb="14">
      <t>ビョウ</t>
    </rPh>
    <phoneticPr fontId="5"/>
  </si>
  <si>
    <t>200～1000個/3600秒</t>
    <rPh sb="8" eb="9">
      <t>コ</t>
    </rPh>
    <rPh sb="14" eb="15">
      <t>ビョウ</t>
    </rPh>
    <phoneticPr fontId="5"/>
  </si>
  <si>
    <t>2～15円/個</t>
    <rPh sb="4" eb="5">
      <t>エン</t>
    </rPh>
    <rPh sb="6" eb="7">
      <t>コ</t>
    </rPh>
    <phoneticPr fontId="5"/>
  </si>
  <si>
    <t>4～20円/個</t>
    <rPh sb="4" eb="5">
      <t>エン</t>
    </rPh>
    <rPh sb="6" eb="7">
      <t>コ</t>
    </rPh>
    <phoneticPr fontId="5"/>
  </si>
  <si>
    <t>200～750個/3600秒</t>
    <rPh sb="7" eb="8">
      <t>コ</t>
    </rPh>
    <rPh sb="13" eb="14">
      <t>ビョウ</t>
    </rPh>
    <phoneticPr fontId="5"/>
  </si>
  <si>
    <t>100～300個/3600秒</t>
    <rPh sb="7" eb="8">
      <t>コ</t>
    </rPh>
    <rPh sb="13" eb="14">
      <t>ビョウ</t>
    </rPh>
    <phoneticPr fontId="5"/>
  </si>
  <si>
    <t>1000～3000個/3600秒</t>
    <rPh sb="9" eb="10">
      <t>コ</t>
    </rPh>
    <rPh sb="15" eb="16">
      <t>ビョウ</t>
    </rPh>
    <phoneticPr fontId="5"/>
  </si>
  <si>
    <t>50～1000個/3600秒</t>
    <rPh sb="7" eb="8">
      <t>コ</t>
    </rPh>
    <rPh sb="13" eb="14">
      <t>ビョウ</t>
    </rPh>
    <phoneticPr fontId="5"/>
  </si>
  <si>
    <t>60～120円/１トレーに入る個数</t>
    <rPh sb="6" eb="7">
      <t>エン</t>
    </rPh>
    <rPh sb="13" eb="14">
      <t>イ</t>
    </rPh>
    <rPh sb="15" eb="17">
      <t>コスウ</t>
    </rPh>
    <phoneticPr fontId="5"/>
  </si>
  <si>
    <t>1500～3000個/3600秒</t>
    <rPh sb="9" eb="10">
      <t>コ</t>
    </rPh>
    <rPh sb="15" eb="16">
      <t>ビョウ</t>
    </rPh>
    <phoneticPr fontId="5"/>
  </si>
  <si>
    <t>Niめっき</t>
    <phoneticPr fontId="5"/>
  </si>
  <si>
    <t>1810円/ラック</t>
    <rPh sb="4" eb="5">
      <t>エン</t>
    </rPh>
    <phoneticPr fontId="5"/>
  </si>
  <si>
    <t>350X320mmラックにいくつセットできるかx両面</t>
    <rPh sb="24" eb="26">
      <t>リョウメン</t>
    </rPh>
    <phoneticPr fontId="5"/>
  </si>
  <si>
    <t>1810/[(350/(焼きサイズ+10)) x (320/(焼きサイズ+10))x2]</t>
    <rPh sb="12" eb="13">
      <t>ヤ</t>
    </rPh>
    <rPh sb="14" eb="15">
      <t>ナマ</t>
    </rPh>
    <rPh sb="31" eb="32">
      <t>ヤ</t>
    </rPh>
    <rPh sb="33" eb="34">
      <t>ナマ</t>
    </rPh>
    <phoneticPr fontId="5"/>
  </si>
  <si>
    <t>電解Ni+Au</t>
    <rPh sb="0" eb="2">
      <t>デンカイ</t>
    </rPh>
    <phoneticPr fontId="5"/>
  </si>
  <si>
    <t>工賃(Ni代込み)</t>
    <rPh sb="0" eb="2">
      <t>コウチン</t>
    </rPh>
    <rPh sb="5" eb="6">
      <t>ダイ</t>
    </rPh>
    <rPh sb="6" eb="7">
      <t>コ</t>
    </rPh>
    <phoneticPr fontId="5"/>
  </si>
  <si>
    <t>3500円/ラック</t>
    <rPh sb="4" eb="5">
      <t>エン</t>
    </rPh>
    <phoneticPr fontId="5"/>
  </si>
  <si>
    <t>3500/[(350/(焼きサイズ+10)) x (320/(焼きサイズ+10))x2]</t>
    <rPh sb="12" eb="13">
      <t>ヤ</t>
    </rPh>
    <rPh sb="14" eb="15">
      <t>ナマ</t>
    </rPh>
    <rPh sb="31" eb="32">
      <t>ヤ</t>
    </rPh>
    <rPh sb="33" eb="34">
      <t>ナマ</t>
    </rPh>
    <phoneticPr fontId="5"/>
  </si>
  <si>
    <t>Au代</t>
    <rPh sb="2" eb="3">
      <t>ダイ</t>
    </rPh>
    <phoneticPr fontId="5"/>
  </si>
  <si>
    <t>無電解Ni+Au</t>
    <rPh sb="0" eb="3">
      <t>ムデンカイ</t>
    </rPh>
    <phoneticPr fontId="5"/>
  </si>
  <si>
    <t>5000円/ラック</t>
    <rPh sb="4" eb="5">
      <t>エン</t>
    </rPh>
    <phoneticPr fontId="5"/>
  </si>
  <si>
    <t>5000/[(350/(焼きサイズ+10)) x (320/(焼きサイズ+10))x2]</t>
    <rPh sb="12" eb="13">
      <t>ヤ</t>
    </rPh>
    <rPh sb="14" eb="15">
      <t>ナマ</t>
    </rPh>
    <rPh sb="31" eb="32">
      <t>ヤ</t>
    </rPh>
    <rPh sb="33" eb="34">
      <t>ナマ</t>
    </rPh>
    <phoneticPr fontId="5"/>
  </si>
  <si>
    <t>73500/[(350/(焼きサイズ+10)) x (320/(焼きサイズ+10))x2]/20回</t>
    <rPh sb="13" eb="14">
      <t>ヤ</t>
    </rPh>
    <rPh sb="15" eb="16">
      <t>ナマ</t>
    </rPh>
    <rPh sb="32" eb="33">
      <t>ヤ</t>
    </rPh>
    <rPh sb="34" eb="35">
      <t>ナマ</t>
    </rPh>
    <rPh sb="48" eb="49">
      <t>カイ</t>
    </rPh>
    <phoneticPr fontId="5"/>
  </si>
  <si>
    <t>工賃</t>
    <rPh sb="0" eb="2">
      <t>コウチン</t>
    </rPh>
    <phoneticPr fontId="5"/>
  </si>
  <si>
    <t>係数の意味</t>
    <rPh sb="0" eb="2">
      <t>ケイスウ</t>
    </rPh>
    <rPh sb="3" eb="5">
      <t>イミ</t>
    </rPh>
    <phoneticPr fontId="5"/>
  </si>
  <si>
    <t>シアン化Au代</t>
    <rPh sb="3" eb="4">
      <t>カ</t>
    </rPh>
    <rPh sb="6" eb="7">
      <t>ダイ</t>
    </rPh>
    <phoneticPr fontId="5"/>
  </si>
  <si>
    <t>社員時間当り</t>
    <rPh sb="0" eb="2">
      <t>シャイン</t>
    </rPh>
    <rPh sb="2" eb="4">
      <t>ジカン</t>
    </rPh>
    <rPh sb="4" eb="5">
      <t>ア</t>
    </rPh>
    <phoneticPr fontId="5"/>
  </si>
  <si>
    <t>ﾊﾟｰﾄ時間当り</t>
    <rPh sb="4" eb="6">
      <t>ジカン</t>
    </rPh>
    <rPh sb="6" eb="7">
      <t>ア</t>
    </rPh>
    <phoneticPr fontId="5"/>
  </si>
  <si>
    <t>バラツキ係数</t>
    <rPh sb="4" eb="6">
      <t>ケイスウ</t>
    </rPh>
    <phoneticPr fontId="5"/>
  </si>
  <si>
    <t>シアン化Au　比重</t>
    <rPh sb="3" eb="4">
      <t>カ</t>
    </rPh>
    <rPh sb="7" eb="9">
      <t>ヒジュウ</t>
    </rPh>
    <phoneticPr fontId="5"/>
  </si>
  <si>
    <t>ﾜｸﾊﾞﾘｾｯﾄ</t>
    <phoneticPr fontId="5"/>
  </si>
  <si>
    <t>ｳﾁﾇｷｾｯﾄ</t>
    <phoneticPr fontId="5"/>
  </si>
  <si>
    <t>ﾌﾟﾘﾝﾄｾｯﾄ</t>
    <phoneticPr fontId="5"/>
  </si>
  <si>
    <t>積層ｾｯﾄ</t>
    <rPh sb="0" eb="2">
      <t>セキソウ</t>
    </rPh>
    <phoneticPr fontId="5"/>
  </si>
  <si>
    <t>ｽﾅｯﾌﾟｾｯﾄ</t>
    <phoneticPr fontId="5"/>
  </si>
  <si>
    <t>ｹｰｽﾀﾞｲ・袋</t>
    <rPh sb="7" eb="8">
      <t>フクロ</t>
    </rPh>
    <phoneticPr fontId="5"/>
  </si>
  <si>
    <t>set</t>
    <phoneticPr fontId="5"/>
  </si>
  <si>
    <r>
      <rPr>
        <b/>
        <sz val="11"/>
        <color indexed="8"/>
        <rFont val="ＭＳ ゴシック"/>
        <family val="3"/>
        <charset val="128"/>
      </rPr>
      <t>←</t>
    </r>
    <r>
      <rPr>
        <sz val="11"/>
        <color indexed="8"/>
        <rFont val="ＭＳ ゴシック"/>
        <family val="3"/>
        <charset val="128"/>
      </rPr>
      <t>利益ゼロの原価</t>
    </r>
    <rPh sb="1" eb="3">
      <t>リエキ</t>
    </rPh>
    <rPh sb="6" eb="8">
      <t>ゲンカ</t>
    </rPh>
    <phoneticPr fontId="5"/>
  </si>
  <si>
    <t>IPAｼﾞｸﾞ詰め</t>
    <rPh sb="7" eb="8">
      <t>ツ</t>
    </rPh>
    <phoneticPr fontId="5"/>
  </si>
  <si>
    <t>Ni+Au</t>
    <phoneticPr fontId="5"/>
  </si>
  <si>
    <t>LCC</t>
    <phoneticPr fontId="5"/>
  </si>
  <si>
    <t>ﾃｰﾌﾟ</t>
    <phoneticPr fontId="5"/>
  </si>
  <si>
    <t>見積仕様検討</t>
    <rPh sb="0" eb="2">
      <t>ミツモリ</t>
    </rPh>
    <rPh sb="2" eb="4">
      <t>シヨウ</t>
    </rPh>
    <rPh sb="4" eb="6">
      <t>ケントウ</t>
    </rPh>
    <phoneticPr fontId="29"/>
  </si>
  <si>
    <t>PKG</t>
    <phoneticPr fontId="29"/>
  </si>
  <si>
    <t>48LCC</t>
    <phoneticPr fontId="29"/>
  </si>
  <si>
    <t>(焼)14.224mmSQ.</t>
    <rPh sb="1" eb="2">
      <t>ヤ</t>
    </rPh>
    <phoneticPr fontId="29"/>
  </si>
  <si>
    <t>(生)</t>
    <rPh sb="1" eb="2">
      <t>ナマ</t>
    </rPh>
    <phoneticPr fontId="29"/>
  </si>
  <si>
    <t>mmSQ.</t>
    <phoneticPr fontId="29"/>
  </si>
  <si>
    <t>枠サイズ</t>
    <rPh sb="0" eb="1">
      <t>ワク</t>
    </rPh>
    <phoneticPr fontId="29"/>
  </si>
  <si>
    <t>VF</t>
    <phoneticPr fontId="29"/>
  </si>
  <si>
    <t>テープ⇒</t>
    <phoneticPr fontId="29"/>
  </si>
  <si>
    <t>170SQ.</t>
    <phoneticPr fontId="29"/>
  </si>
  <si>
    <t>収縮</t>
    <rPh sb="0" eb="2">
      <t>シュウシュク</t>
    </rPh>
    <phoneticPr fontId="29"/>
  </si>
  <si>
    <t>85.3%クロス</t>
    <phoneticPr fontId="29"/>
  </si>
  <si>
    <t>検討</t>
    <rPh sb="0" eb="2">
      <t>ケントウ</t>
    </rPh>
    <phoneticPr fontId="29"/>
  </si>
  <si>
    <t>X</t>
    <phoneticPr fontId="29"/>
  </si>
  <si>
    <t>配列</t>
    <rPh sb="0" eb="2">
      <t>ハイレツ</t>
    </rPh>
    <phoneticPr fontId="29"/>
  </si>
  <si>
    <t>4BLOCK</t>
    <phoneticPr fontId="29"/>
  </si>
  <si>
    <t>B取り数</t>
    <rPh sb="1" eb="2">
      <t>ト</t>
    </rPh>
    <rPh sb="3" eb="4">
      <t>スウ</t>
    </rPh>
    <phoneticPr fontId="29"/>
  </si>
  <si>
    <t>仕様</t>
    <rPh sb="0" eb="2">
      <t>シヨウ</t>
    </rPh>
    <phoneticPr fontId="29"/>
  </si>
  <si>
    <t>Au厚み</t>
    <rPh sb="2" eb="3">
      <t>アツ</t>
    </rPh>
    <phoneticPr fontId="29"/>
  </si>
  <si>
    <t>0.3um</t>
    <phoneticPr fontId="29"/>
  </si>
  <si>
    <t>面積</t>
    <rPh sb="0" eb="2">
      <t>メンセキ</t>
    </rPh>
    <phoneticPr fontId="29"/>
  </si>
  <si>
    <t>2.8cm2</t>
    <phoneticPr fontId="29"/>
  </si>
  <si>
    <t>リークあり</t>
    <phoneticPr fontId="29"/>
  </si>
  <si>
    <t>絶縁あり</t>
    <rPh sb="0" eb="2">
      <t>ゼツエン</t>
    </rPh>
    <phoneticPr fontId="29"/>
  </si>
  <si>
    <t>焼成棚板　有効エリア</t>
    <rPh sb="0" eb="2">
      <t>ショウセイ</t>
    </rPh>
    <rPh sb="2" eb="4">
      <t>タナイタ</t>
    </rPh>
    <rPh sb="5" eb="7">
      <t>ユウコウ</t>
    </rPh>
    <phoneticPr fontId="29"/>
  </si>
  <si>
    <t>110mmx260mm(棚板サイズ　130x280mm)</t>
    <rPh sb="12" eb="14">
      <t>タナイタ</t>
    </rPh>
    <phoneticPr fontId="29"/>
  </si>
  <si>
    <t>生工程、リーク、絶縁、検査の時間当たりの処理数は40LCCの元データと同じ</t>
    <rPh sb="0" eb="1">
      <t>ナマ</t>
    </rPh>
    <rPh sb="1" eb="3">
      <t>コウテイ</t>
    </rPh>
    <rPh sb="8" eb="10">
      <t>ゼツエン</t>
    </rPh>
    <rPh sb="11" eb="13">
      <t>ケンサ</t>
    </rPh>
    <rPh sb="14" eb="16">
      <t>ジカン</t>
    </rPh>
    <rPh sb="16" eb="17">
      <t>ア</t>
    </rPh>
    <rPh sb="20" eb="22">
      <t>ショリ</t>
    </rPh>
    <rPh sb="22" eb="23">
      <t>スウ</t>
    </rPh>
    <rPh sb="30" eb="31">
      <t>モト</t>
    </rPh>
    <rPh sb="35" eb="36">
      <t>オナ</t>
    </rPh>
    <phoneticPr fontId="29"/>
  </si>
  <si>
    <t>歩留まりは　参考計算書表と同じ</t>
    <rPh sb="0" eb="2">
      <t>ブド</t>
    </rPh>
    <rPh sb="6" eb="8">
      <t>サンコウ</t>
    </rPh>
    <rPh sb="8" eb="10">
      <t>ケイサン</t>
    </rPh>
    <rPh sb="10" eb="11">
      <t>ショ</t>
    </rPh>
    <rPh sb="11" eb="12">
      <t>ヒョウ</t>
    </rPh>
    <rPh sb="13" eb="14">
      <t>オナ</t>
    </rPh>
    <phoneticPr fontId="29"/>
  </si>
  <si>
    <t>間接費率</t>
    <rPh sb="0" eb="2">
      <t>カンセツ</t>
    </rPh>
    <rPh sb="2" eb="3">
      <t>ヒ</t>
    </rPh>
    <rPh sb="3" eb="4">
      <t>リツ</t>
    </rPh>
    <phoneticPr fontId="29"/>
  </si>
  <si>
    <t>投入ロットサイズ</t>
    <rPh sb="0" eb="2">
      <t>トウニュウ</t>
    </rPh>
    <phoneticPr fontId="29"/>
  </si>
  <si>
    <t>set</t>
    <phoneticPr fontId="29"/>
  </si>
  <si>
    <t>計算原価</t>
    <rPh sb="0" eb="2">
      <t>ケイサン</t>
    </rPh>
    <rPh sb="2" eb="4">
      <t>ゲンカ</t>
    </rPh>
    <phoneticPr fontId="29"/>
  </si>
  <si>
    <t>配列検討チェックシート</t>
    <rPh sb="0" eb="2">
      <t>ハイレツ</t>
    </rPh>
    <rPh sb="2" eb="4">
      <t>ケントウ</t>
    </rPh>
    <phoneticPr fontId="29"/>
  </si>
  <si>
    <t>作成日：2024/12/27</t>
    <rPh sb="0" eb="3">
      <t>サクセイビ</t>
    </rPh>
    <phoneticPr fontId="29"/>
  </si>
  <si>
    <t>製品名：</t>
    <rPh sb="0" eb="3">
      <t>セイヒンメイ</t>
    </rPh>
    <phoneticPr fontId="29"/>
  </si>
  <si>
    <t>(</t>
    <phoneticPr fontId="29"/>
  </si>
  <si>
    <t>)</t>
    <phoneticPr fontId="29"/>
  </si>
  <si>
    <t>Ⅰテープ手配時検討項目</t>
    <rPh sb="4" eb="6">
      <t>テハイ</t>
    </rPh>
    <rPh sb="6" eb="7">
      <t>ジ</t>
    </rPh>
    <rPh sb="7" eb="9">
      <t>ケントウ</t>
    </rPh>
    <rPh sb="9" eb="11">
      <t>コウモク</t>
    </rPh>
    <phoneticPr fontId="29"/>
  </si>
  <si>
    <t>CHK</t>
    <phoneticPr fontId="29"/>
  </si>
  <si>
    <t>1.枠サイズ</t>
    <rPh sb="2" eb="3">
      <t>ワク</t>
    </rPh>
    <phoneticPr fontId="29"/>
  </si>
  <si>
    <t>■LS枠 148SQ.</t>
  </si>
  <si>
    <t>■M1341枠</t>
    <rPh sb="6" eb="7">
      <t>ワク</t>
    </rPh>
    <phoneticPr fontId="29"/>
  </si>
  <si>
    <t>■M1313枠</t>
    <rPh sb="6" eb="7">
      <t>ワク</t>
    </rPh>
    <phoneticPr fontId="29"/>
  </si>
  <si>
    <t>■VF枠 170SQ.</t>
  </si>
  <si>
    <t>‣巾／流　211：( 　　　　  )239：(  　　 　　）</t>
    <rPh sb="1" eb="2">
      <t>ハバ</t>
    </rPh>
    <rPh sb="3" eb="4">
      <t>ナガレ</t>
    </rPh>
    <phoneticPr fontId="29"/>
  </si>
  <si>
    <t>テープ規格書　添付確認シート</t>
    <rPh sb="3" eb="5">
      <t>キカク</t>
    </rPh>
    <rPh sb="5" eb="6">
      <t>ショ</t>
    </rPh>
    <rPh sb="7" eb="9">
      <t>テンプ</t>
    </rPh>
    <rPh sb="9" eb="11">
      <t>カクニン</t>
    </rPh>
    <phoneticPr fontId="29"/>
  </si>
  <si>
    <t>■LV枠 186SQ.</t>
  </si>
  <si>
    <t>■M1335枠</t>
    <phoneticPr fontId="29"/>
  </si>
  <si>
    <t>■LL枠 200SQ.</t>
  </si>
  <si>
    <t>‣巾／流　211：( 　　　　  )233：(  　　 　　）</t>
    <phoneticPr fontId="29"/>
  </si>
  <si>
    <t>No.</t>
    <phoneticPr fontId="29"/>
  </si>
  <si>
    <t>添付資料</t>
    <rPh sb="0" eb="2">
      <t>テンプ</t>
    </rPh>
    <rPh sb="2" eb="4">
      <t>シリョウ</t>
    </rPh>
    <phoneticPr fontId="29"/>
  </si>
  <si>
    <t>添付資料　無の理由</t>
    <rPh sb="0" eb="2">
      <t>テンプ</t>
    </rPh>
    <rPh sb="2" eb="4">
      <t>シリョウ</t>
    </rPh>
    <rPh sb="5" eb="6">
      <t>ナ</t>
    </rPh>
    <rPh sb="7" eb="9">
      <t>リユウ</t>
    </rPh>
    <phoneticPr fontId="29"/>
  </si>
  <si>
    <t>担当者 ✔</t>
    <rPh sb="0" eb="2">
      <t>タントウ</t>
    </rPh>
    <rPh sb="2" eb="3">
      <t>シャ</t>
    </rPh>
    <phoneticPr fontId="29"/>
  </si>
  <si>
    <t>検図者 ✔</t>
    <rPh sb="0" eb="2">
      <t>ケンズ</t>
    </rPh>
    <phoneticPr fontId="29"/>
  </si>
  <si>
    <t>2.収縮／製品配列方向</t>
    <rPh sb="5" eb="7">
      <t>セイヒン</t>
    </rPh>
    <rPh sb="7" eb="9">
      <t>ハイレツ</t>
    </rPh>
    <rPh sb="9" eb="11">
      <t>ホウコウ</t>
    </rPh>
    <phoneticPr fontId="29"/>
  </si>
  <si>
    <t>1.</t>
    <phoneticPr fontId="29"/>
  </si>
  <si>
    <t>ＫＣ図面(客先図面)(※1)</t>
    <phoneticPr fontId="29"/>
  </si>
  <si>
    <t>有</t>
    <rPh sb="0" eb="1">
      <t>ア</t>
    </rPh>
    <phoneticPr fontId="29"/>
  </si>
  <si>
    <t>無</t>
    <rPh sb="0" eb="1">
      <t>ナ</t>
    </rPh>
    <phoneticPr fontId="29"/>
  </si>
  <si>
    <t>■クロス積層　要・不要</t>
    <rPh sb="4" eb="6">
      <t>セキソウ</t>
    </rPh>
    <rPh sb="7" eb="8">
      <t>ヨウ</t>
    </rPh>
    <rPh sb="9" eb="11">
      <t>フヨウ</t>
    </rPh>
    <phoneticPr fontId="29"/>
  </si>
  <si>
    <t>‣製品内丸穴　有り・無し　又は　製品内に穴無し</t>
    <rPh sb="1" eb="3">
      <t>セイヒン</t>
    </rPh>
    <rPh sb="3" eb="4">
      <t>ナイ</t>
    </rPh>
    <rPh sb="4" eb="5">
      <t>マル</t>
    </rPh>
    <rPh sb="5" eb="6">
      <t>アナ</t>
    </rPh>
    <rPh sb="7" eb="8">
      <t>ア</t>
    </rPh>
    <rPh sb="10" eb="11">
      <t>ナ</t>
    </rPh>
    <rPh sb="13" eb="14">
      <t>マタ</t>
    </rPh>
    <rPh sb="16" eb="18">
      <t>セイヒン</t>
    </rPh>
    <rPh sb="18" eb="19">
      <t>ナイ</t>
    </rPh>
    <rPh sb="20" eb="21">
      <t>アナ</t>
    </rPh>
    <rPh sb="21" eb="22">
      <t>ナ</t>
    </rPh>
    <phoneticPr fontId="29"/>
  </si>
  <si>
    <t>2.</t>
  </si>
  <si>
    <t>設計審査議事録</t>
    <phoneticPr fontId="29"/>
  </si>
  <si>
    <t>■配線層印刷方向　検討　要・不要</t>
    <rPh sb="1" eb="3">
      <t>ハイセン</t>
    </rPh>
    <rPh sb="3" eb="4">
      <t>ソウ</t>
    </rPh>
    <rPh sb="4" eb="6">
      <t>インサツ</t>
    </rPh>
    <rPh sb="6" eb="8">
      <t>ホウコウ</t>
    </rPh>
    <rPh sb="9" eb="11">
      <t>ケントウ</t>
    </rPh>
    <rPh sb="12" eb="13">
      <t>ヨウ</t>
    </rPh>
    <rPh sb="14" eb="16">
      <t>フヨウ</t>
    </rPh>
    <phoneticPr fontId="29"/>
  </si>
  <si>
    <t>‣印刷機　手動機・自動機</t>
    <rPh sb="1" eb="3">
      <t>インサツ</t>
    </rPh>
    <rPh sb="3" eb="4">
      <t>キ</t>
    </rPh>
    <rPh sb="5" eb="7">
      <t>シュドウ</t>
    </rPh>
    <rPh sb="7" eb="8">
      <t>キ</t>
    </rPh>
    <rPh sb="9" eb="12">
      <t>ジドウキ</t>
    </rPh>
    <phoneticPr fontId="29"/>
  </si>
  <si>
    <t>3.</t>
  </si>
  <si>
    <t>収縮依頼書</t>
    <phoneticPr fontId="29"/>
  </si>
  <si>
    <t>■エア抜き穴　要・不要</t>
    <rPh sb="3" eb="4">
      <t>ヌ</t>
    </rPh>
    <rPh sb="5" eb="6">
      <t>アナ</t>
    </rPh>
    <rPh sb="7" eb="8">
      <t>ヨウ</t>
    </rPh>
    <rPh sb="9" eb="11">
      <t>フヨウ</t>
    </rPh>
    <phoneticPr fontId="29"/>
  </si>
  <si>
    <t>3.キャビティ有り</t>
    <rPh sb="7" eb="8">
      <t>ア</t>
    </rPh>
    <phoneticPr fontId="29"/>
  </si>
  <si>
    <t>4.</t>
  </si>
  <si>
    <t>配列検討図(※2)(※3)</t>
    <phoneticPr fontId="29"/>
  </si>
  <si>
    <t>■フレーム巾(焼)1.0ｍｍMIN.（製品抱き合わせ時/バリ考慮含む）</t>
    <rPh sb="5" eb="6">
      <t>ハバ</t>
    </rPh>
    <rPh sb="6" eb="9">
      <t>ヤキ</t>
    </rPh>
    <rPh sb="19" eb="21">
      <t>セイヒン</t>
    </rPh>
    <rPh sb="21" eb="22">
      <t>ダ</t>
    </rPh>
    <rPh sb="23" eb="24">
      <t>ア</t>
    </rPh>
    <rPh sb="26" eb="27">
      <t>ジ</t>
    </rPh>
    <phoneticPr fontId="29"/>
  </si>
  <si>
    <t>‣(※フレーム巾狭の製品に対しては別途技術確認）</t>
    <rPh sb="7" eb="8">
      <t>ハバ</t>
    </rPh>
    <rPh sb="8" eb="9">
      <t>セマ</t>
    </rPh>
    <phoneticPr fontId="29"/>
  </si>
  <si>
    <t>5.</t>
  </si>
  <si>
    <t>■ダミーキャビティの要・不要：設計基準書　SBA-0019</t>
    <rPh sb="10" eb="11">
      <t>ヨウ</t>
    </rPh>
    <rPh sb="12" eb="14">
      <t>フヨウ</t>
    </rPh>
    <rPh sb="15" eb="17">
      <t>セッケイ</t>
    </rPh>
    <rPh sb="17" eb="19">
      <t>キジュン</t>
    </rPh>
    <rPh sb="19" eb="20">
      <t>ショ</t>
    </rPh>
    <phoneticPr fontId="29"/>
  </si>
  <si>
    <t>‣(※キャビティ深の製品に対しては別途技術確認）</t>
    <phoneticPr fontId="29"/>
  </si>
  <si>
    <t>　(※1) 巾、流、UP方向を記載したもの。</t>
    <rPh sb="6" eb="7">
      <t>ハバ</t>
    </rPh>
    <rPh sb="8" eb="9">
      <t>ナガレ</t>
    </rPh>
    <rPh sb="12" eb="14">
      <t>ホウコウ</t>
    </rPh>
    <rPh sb="15" eb="17">
      <t>キサイ</t>
    </rPh>
    <phoneticPr fontId="29"/>
  </si>
  <si>
    <t>■偏心キャビティ　有り・無し</t>
    <rPh sb="9" eb="10">
      <t>ア</t>
    </rPh>
    <rPh sb="12" eb="13">
      <t>ナ</t>
    </rPh>
    <phoneticPr fontId="29"/>
  </si>
  <si>
    <t>　(※2) 配列検討図作成時は右記の配列検討のチェックシートを確認すること。</t>
    <rPh sb="15" eb="17">
      <t>ウキ</t>
    </rPh>
    <phoneticPr fontId="29"/>
  </si>
  <si>
    <t>‣180°回転配列　要・不要</t>
    <rPh sb="5" eb="7">
      <t>カイテン</t>
    </rPh>
    <rPh sb="7" eb="9">
      <t>ハイレツ</t>
    </rPh>
    <rPh sb="10" eb="11">
      <t>ヨウ</t>
    </rPh>
    <rPh sb="12" eb="14">
      <t>フヨウ</t>
    </rPh>
    <phoneticPr fontId="29"/>
  </si>
  <si>
    <t>　(※3)NCP仕様は有効エリアを記載すること。</t>
    <rPh sb="8" eb="10">
      <t>シヨウ</t>
    </rPh>
    <rPh sb="11" eb="13">
      <t>ユウコウ</t>
    </rPh>
    <rPh sb="17" eb="19">
      <t>キサイ</t>
    </rPh>
    <phoneticPr fontId="29"/>
  </si>
  <si>
    <t>■積層後、キャビティの打ち抜き　有り・無し</t>
    <rPh sb="1" eb="3">
      <t>セキソウ</t>
    </rPh>
    <rPh sb="3" eb="4">
      <t>ゴ</t>
    </rPh>
    <rPh sb="11" eb="12">
      <t>ウ</t>
    </rPh>
    <rPh sb="13" eb="14">
      <t>ヌ</t>
    </rPh>
    <rPh sb="16" eb="17">
      <t>ア</t>
    </rPh>
    <rPh sb="19" eb="20">
      <t>ナ</t>
    </rPh>
    <phoneticPr fontId="29"/>
  </si>
  <si>
    <t>‣キャビティ内エア抜き穴　要・不要：設計基準書　SBA-0014A/SBB-0001</t>
    <rPh sb="6" eb="7">
      <t>ナイ</t>
    </rPh>
    <rPh sb="9" eb="10">
      <t>ヌ</t>
    </rPh>
    <rPh sb="11" eb="12">
      <t>アナ</t>
    </rPh>
    <rPh sb="13" eb="14">
      <t>ヨウ</t>
    </rPh>
    <rPh sb="15" eb="17">
      <t>フヨウ</t>
    </rPh>
    <rPh sb="18" eb="20">
      <t>セッケイ</t>
    </rPh>
    <rPh sb="20" eb="22">
      <t>キジュン</t>
    </rPh>
    <rPh sb="22" eb="23">
      <t>ショ</t>
    </rPh>
    <phoneticPr fontId="29"/>
  </si>
  <si>
    <t>4.切断</t>
    <rPh sb="2" eb="4">
      <t>セツダン</t>
    </rPh>
    <phoneticPr fontId="29"/>
  </si>
  <si>
    <t>■NC切断</t>
    <rPh sb="3" eb="5">
      <t>セツダン</t>
    </rPh>
    <phoneticPr fontId="29"/>
  </si>
  <si>
    <t>■カメラ切断：設計基準書　SDA-0019</t>
    <rPh sb="4" eb="6">
      <t>セツダン</t>
    </rPh>
    <phoneticPr fontId="29"/>
  </si>
  <si>
    <t>‣ガイド穴からのギャップ　確認</t>
    <rPh sb="4" eb="5">
      <t>アナ</t>
    </rPh>
    <rPh sb="13" eb="15">
      <t>カクニン</t>
    </rPh>
    <phoneticPr fontId="29"/>
  </si>
  <si>
    <t>■画像切断：設計基準書　SDA-0038</t>
    <rPh sb="1" eb="3">
      <t>ガゾウ</t>
    </rPh>
    <rPh sb="3" eb="5">
      <t>セツダン</t>
    </rPh>
    <rPh sb="6" eb="8">
      <t>セッケイ</t>
    </rPh>
    <rPh sb="8" eb="10">
      <t>キジュン</t>
    </rPh>
    <rPh sb="10" eb="11">
      <t>ショ</t>
    </rPh>
    <phoneticPr fontId="29"/>
  </si>
  <si>
    <t>配列検討時確認エリア</t>
    <rPh sb="0" eb="2">
      <t>ハイレツ</t>
    </rPh>
    <rPh sb="2" eb="4">
      <t>ケントウ</t>
    </rPh>
    <rPh sb="4" eb="5">
      <t>ジ</t>
    </rPh>
    <rPh sb="5" eb="7">
      <t>カクニン</t>
    </rPh>
    <phoneticPr fontId="29"/>
  </si>
  <si>
    <t>■NCエリア：設計基準書　SBD-0001</t>
    <phoneticPr fontId="29"/>
  </si>
  <si>
    <t>■レーザーエリア</t>
    <phoneticPr fontId="29"/>
  </si>
  <si>
    <t>‣LS～LL枠：(生)□185</t>
    <rPh sb="6" eb="7">
      <t>ワク</t>
    </rPh>
    <rPh sb="8" eb="11">
      <t>ナマ</t>
    </rPh>
    <phoneticPr fontId="29"/>
  </si>
  <si>
    <r>
      <t>‣M1341枠(ML枠)：(生)ⓧ185×Ⓨ210</t>
    </r>
    <r>
      <rPr>
        <b/>
        <sz val="10"/>
        <color theme="1"/>
        <rFont val="Meiryo UI"/>
        <family val="3"/>
        <charset val="128"/>
      </rPr>
      <t>（2-6工場LSI設備にて審査会時別途確認）</t>
    </r>
    <rPh sb="6" eb="7">
      <t>ワク</t>
    </rPh>
    <rPh sb="13" eb="16">
      <t>ナマ</t>
    </rPh>
    <phoneticPr fontId="29"/>
  </si>
  <si>
    <t>■MPSエリア：□140</t>
    <phoneticPr fontId="29"/>
  </si>
  <si>
    <t>■T/Hマスターエリア：□140</t>
    <phoneticPr fontId="29"/>
  </si>
  <si>
    <t>■QVデータ</t>
    <phoneticPr fontId="29"/>
  </si>
  <si>
    <t>‣LS～LL枠：(生)□180</t>
    <phoneticPr fontId="29"/>
  </si>
  <si>
    <r>
      <t>‣M1341枠(ML枠)：(生)ⓧ200×Ⓨ220</t>
    </r>
    <r>
      <rPr>
        <b/>
        <sz val="10"/>
        <color theme="1"/>
        <rFont val="Meiryo UI"/>
        <family val="3"/>
        <charset val="128"/>
      </rPr>
      <t>（2-6工場LSI設備にて審査会時別途確認）</t>
    </r>
    <rPh sb="6" eb="7">
      <t>ワク</t>
    </rPh>
    <rPh sb="13" eb="16">
      <t>ナマ</t>
    </rPh>
    <rPh sb="29" eb="31">
      <t>コウジョウ</t>
    </rPh>
    <rPh sb="34" eb="36">
      <t>セツビ</t>
    </rPh>
    <rPh sb="38" eb="41">
      <t>シンサカイ</t>
    </rPh>
    <rPh sb="41" eb="42">
      <t>ジ</t>
    </rPh>
    <rPh sb="42" eb="44">
      <t>ベット</t>
    </rPh>
    <rPh sb="44" eb="46">
      <t>カクニン</t>
    </rPh>
    <phoneticPr fontId="29"/>
  </si>
  <si>
    <t>■積層パンチ有効エリア</t>
    <rPh sb="1" eb="3">
      <t>セキソウ</t>
    </rPh>
    <rPh sb="6" eb="8">
      <t>ユウコウ</t>
    </rPh>
    <phoneticPr fontId="29"/>
  </si>
  <si>
    <t>‣LS枠：(生)□125</t>
    <phoneticPr fontId="29"/>
  </si>
  <si>
    <t>‣VF枠：(生)□150</t>
    <phoneticPr fontId="29"/>
  </si>
  <si>
    <t>‣LV枠：(生)□165</t>
    <phoneticPr fontId="29"/>
  </si>
  <si>
    <t>‣LL枠：(生)□180</t>
    <phoneticPr fontId="29"/>
  </si>
  <si>
    <t>‣M1341枠(ML枠)：(生)ⓧ180×Ⓨ210</t>
    <phoneticPr fontId="29"/>
  </si>
  <si>
    <t>Ⅱ治具発注前検討項目</t>
    <rPh sb="1" eb="3">
      <t>ジグ</t>
    </rPh>
    <rPh sb="3" eb="5">
      <t>ハッチュウ</t>
    </rPh>
    <rPh sb="5" eb="6">
      <t>マエ</t>
    </rPh>
    <phoneticPr fontId="29"/>
  </si>
  <si>
    <t>1.個片サイズ</t>
    <rPh sb="2" eb="3">
      <t>コ</t>
    </rPh>
    <rPh sb="3" eb="4">
      <t>ヘン</t>
    </rPh>
    <phoneticPr fontId="29"/>
  </si>
  <si>
    <t>■S面カット　基板サイズ：(焼)8.5ｍｍSQ.MIN.</t>
    <rPh sb="2" eb="3">
      <t>メン</t>
    </rPh>
    <rPh sb="7" eb="9">
      <t>キバン</t>
    </rPh>
    <rPh sb="13" eb="16">
      <t>ヤキ</t>
    </rPh>
    <phoneticPr fontId="29"/>
  </si>
  <si>
    <t>2.ブロック／シートサイズ</t>
    <phoneticPr fontId="29"/>
  </si>
  <si>
    <t>■W/J治具</t>
    <rPh sb="4" eb="6">
      <t>ジグ</t>
    </rPh>
    <phoneticPr fontId="29"/>
  </si>
  <si>
    <t>■めっきラック　</t>
    <phoneticPr fontId="29"/>
  </si>
  <si>
    <t>5.共用金型使用時確認事項</t>
    <rPh sb="2" eb="6">
      <t>キョウヨウカナガタ</t>
    </rPh>
    <rPh sb="6" eb="9">
      <t>シヨウジ</t>
    </rPh>
    <rPh sb="9" eb="13">
      <t>カクニンジコウ</t>
    </rPh>
    <phoneticPr fontId="29"/>
  </si>
  <si>
    <t>‣GL773無電解めっき時　ブロック耳幅：MIN(焼)2.50　※他の条件時はめっき技術に確認</t>
    <rPh sb="12" eb="13">
      <t>ジ</t>
    </rPh>
    <rPh sb="18" eb="20">
      <t>ミミハバ</t>
    </rPh>
    <rPh sb="25" eb="26">
      <t>ヤキ</t>
    </rPh>
    <rPh sb="33" eb="34">
      <t>ホカ</t>
    </rPh>
    <rPh sb="35" eb="37">
      <t>ジョウケン</t>
    </rPh>
    <rPh sb="37" eb="38">
      <t>ジ</t>
    </rPh>
    <rPh sb="42" eb="44">
      <t>ギジュツ</t>
    </rPh>
    <rPh sb="45" eb="47">
      <t>カクニン</t>
    </rPh>
    <phoneticPr fontId="29"/>
  </si>
  <si>
    <t>■共用品と収縮率が同じか</t>
  </si>
  <si>
    <t>3.導通</t>
    <rPh sb="2" eb="4">
      <t>ドウツウ</t>
    </rPh>
    <phoneticPr fontId="29"/>
  </si>
  <si>
    <t>■共用品と配列ピッチが同じか</t>
  </si>
  <si>
    <r>
      <t>■SJIGA面積　1390mm</t>
    </r>
    <r>
      <rPr>
        <vertAlign val="superscript"/>
        <sz val="10"/>
        <color theme="1"/>
        <rFont val="Meiryo UI"/>
        <family val="3"/>
        <charset val="128"/>
      </rPr>
      <t>2</t>
    </r>
    <r>
      <rPr>
        <sz val="10"/>
        <color theme="1"/>
        <rFont val="Meiryo UI"/>
        <family val="3"/>
        <charset val="128"/>
      </rPr>
      <t>MAX.：設計基準書　SDB-0003</t>
    </r>
    <rPh sb="6" eb="8">
      <t>メンセキ</t>
    </rPh>
    <rPh sb="21" eb="23">
      <t>セッケイ</t>
    </rPh>
    <rPh sb="23" eb="25">
      <t>キジュン</t>
    </rPh>
    <rPh sb="25" eb="26">
      <t>ショ</t>
    </rPh>
    <phoneticPr fontId="29"/>
  </si>
  <si>
    <t>■金型が共用できるかの確認</t>
  </si>
  <si>
    <t>■めっき線のダミーキャビティへのタレこみ確認</t>
    <rPh sb="4" eb="5">
      <t>セン</t>
    </rPh>
    <rPh sb="20" eb="22">
      <t>カクニン</t>
    </rPh>
    <phoneticPr fontId="29"/>
  </si>
  <si>
    <t>‣共用金型の製品との差異</t>
  </si>
  <si>
    <t>4.スナップ</t>
    <phoneticPr fontId="29"/>
  </si>
  <si>
    <t>　　→　製品外形サイズは同じか</t>
  </si>
  <si>
    <t>■円形</t>
    <rPh sb="1" eb="3">
      <t>エンケイ</t>
    </rPh>
    <phoneticPr fontId="29"/>
  </si>
  <si>
    <t>　　→　CAVや切り欠きのサイズ・位置は同じか</t>
  </si>
  <si>
    <t>■NCスナップ／金型スナップ</t>
    <rPh sb="8" eb="10">
      <t>カナガタ</t>
    </rPh>
    <phoneticPr fontId="29"/>
  </si>
  <si>
    <t>‣共用金型にある全ての穴の位置確認（製品内に不要な穴が開かないか）</t>
  </si>
  <si>
    <t>‣製品外ダミースナップの要・不要：設計基準書　SFC-0007</t>
    <rPh sb="1" eb="3">
      <t>セイヒン</t>
    </rPh>
    <rPh sb="3" eb="4">
      <t>ガイ</t>
    </rPh>
    <rPh sb="12" eb="13">
      <t>ヨウ</t>
    </rPh>
    <rPh sb="14" eb="16">
      <t>フヨウ</t>
    </rPh>
    <phoneticPr fontId="29"/>
  </si>
  <si>
    <t>　　→　共用製品の製品外に穴が無いか（QV穴など）</t>
  </si>
  <si>
    <t>‣スナップ先端～ラック、組立穴際まで基板厚みMIN.以上必要</t>
    <rPh sb="5" eb="7">
      <t>センタン</t>
    </rPh>
    <rPh sb="12" eb="14">
      <t>クミタテ</t>
    </rPh>
    <rPh sb="14" eb="15">
      <t>アナ</t>
    </rPh>
    <rPh sb="15" eb="16">
      <t>キワ</t>
    </rPh>
    <rPh sb="18" eb="20">
      <t>キバン</t>
    </rPh>
    <rPh sb="20" eb="21">
      <t>アツ</t>
    </rPh>
    <rPh sb="26" eb="28">
      <t>イジョウ</t>
    </rPh>
    <rPh sb="28" eb="30">
      <t>ヒツヨウ</t>
    </rPh>
    <phoneticPr fontId="29"/>
  </si>
  <si>
    <t>　　→　金型の全穴を重ね合わせて位置確認したか</t>
  </si>
  <si>
    <t>‣ガイド穴への干渉ないか。（ガイド穴～スナップ先端：1.0mmMIN.）</t>
    <rPh sb="4" eb="5">
      <t>アナ</t>
    </rPh>
    <rPh sb="7" eb="9">
      <t>カンショウ</t>
    </rPh>
    <rPh sb="17" eb="18">
      <t>アナ</t>
    </rPh>
    <rPh sb="23" eb="25">
      <t>センタン</t>
    </rPh>
    <phoneticPr fontId="29"/>
  </si>
  <si>
    <t>層数</t>
    <rPh sb="0" eb="2">
      <t>ソウスウ</t>
    </rPh>
    <phoneticPr fontId="5"/>
  </si>
  <si>
    <t>3層で検討</t>
    <rPh sb="1" eb="2">
      <t>ソウ</t>
    </rPh>
    <rPh sb="3" eb="5">
      <t>ケントウ</t>
    </rPh>
    <phoneticPr fontId="5"/>
  </si>
  <si>
    <t>mm</t>
    <phoneticPr fontId="5"/>
  </si>
  <si>
    <t>mm      Y</t>
    <phoneticPr fontId="5"/>
  </si>
  <si>
    <t>ブロック捨て耳サイズ　片側　5mm(焼き)</t>
    <rPh sb="4" eb="5">
      <t>ス</t>
    </rPh>
    <rPh sb="6" eb="7">
      <t>ミミ</t>
    </rPh>
    <rPh sb="11" eb="13">
      <t>カタガワ</t>
    </rPh>
    <rPh sb="18" eb="19">
      <t>ヤ</t>
    </rPh>
    <phoneticPr fontId="29"/>
  </si>
  <si>
    <r>
      <t>VF枠基準　見積もり用の基本の工程処理数と参考単価　</t>
    </r>
    <r>
      <rPr>
        <b/>
        <sz val="14"/>
        <rFont val="ＭＳ Ｐゴシック"/>
        <family val="3"/>
        <charset val="128"/>
      </rPr>
      <t>-前工程-</t>
    </r>
    <rPh sb="2" eb="3">
      <t>ワク</t>
    </rPh>
    <rPh sb="3" eb="5">
      <t>キジュン</t>
    </rPh>
    <rPh sb="6" eb="8">
      <t>ミツ</t>
    </rPh>
    <rPh sb="10" eb="11">
      <t>ヨウ</t>
    </rPh>
    <rPh sb="12" eb="14">
      <t>キホン</t>
    </rPh>
    <rPh sb="15" eb="17">
      <t>コウテイ</t>
    </rPh>
    <rPh sb="17" eb="19">
      <t>ショリ</t>
    </rPh>
    <rPh sb="19" eb="20">
      <t>スウ</t>
    </rPh>
    <rPh sb="21" eb="23">
      <t>サンコウ</t>
    </rPh>
    <rPh sb="23" eb="25">
      <t>タンカ</t>
    </rPh>
    <rPh sb="27" eb="28">
      <t>マエ</t>
    </rPh>
    <rPh sb="28" eb="30">
      <t>コウテイ</t>
    </rPh>
    <phoneticPr fontId="5"/>
  </si>
  <si>
    <t>テープ単価表参照</t>
    <rPh sb="3" eb="5">
      <t>タンカ</t>
    </rPh>
    <rPh sb="5" eb="6">
      <t>ヒョウ</t>
    </rPh>
    <rPh sb="6" eb="8">
      <t>サンショウ</t>
    </rPh>
    <phoneticPr fontId="5"/>
  </si>
  <si>
    <t>レーザ</t>
    <phoneticPr fontId="5"/>
  </si>
  <si>
    <t>800穴/秒</t>
    <rPh sb="3" eb="4">
      <t>ケツ</t>
    </rPh>
    <rPh sb="5" eb="6">
      <t>ビョウ</t>
    </rPh>
    <phoneticPr fontId="5"/>
  </si>
  <si>
    <t>印刷埋め込み</t>
    <rPh sb="0" eb="2">
      <t>インサツ</t>
    </rPh>
    <rPh sb="2" eb="3">
      <t>ウ</t>
    </rPh>
    <rPh sb="4" eb="5">
      <t>コ</t>
    </rPh>
    <phoneticPr fontId="5"/>
  </si>
  <si>
    <r>
      <rPr>
        <sz val="11"/>
        <color rgb="FFFF0000"/>
        <rFont val="ＭＳ Ｐゴシック"/>
        <family val="3"/>
        <charset val="128"/>
      </rPr>
      <t>5800円</t>
    </r>
    <r>
      <rPr>
        <sz val="11"/>
        <rFont val="ＭＳ Ｐゴシック"/>
        <family val="3"/>
        <charset val="128"/>
      </rPr>
      <t>/2000回使用　　</t>
    </r>
    <r>
      <rPr>
        <sz val="11"/>
        <color rgb="FFFF0000"/>
        <rFont val="ＭＳ Ｐゴシック"/>
        <family val="3"/>
        <charset val="128"/>
      </rPr>
      <t>(製版の種類による)</t>
    </r>
    <rPh sb="4" eb="5">
      <t>エン</t>
    </rPh>
    <rPh sb="10" eb="11">
      <t>カイ</t>
    </rPh>
    <rPh sb="11" eb="13">
      <t>シヨウ</t>
    </rPh>
    <rPh sb="16" eb="18">
      <t>セイハン</t>
    </rPh>
    <rPh sb="19" eb="21">
      <t>シュルイ</t>
    </rPh>
    <phoneticPr fontId="5"/>
  </si>
  <si>
    <t>4円/1回</t>
    <rPh sb="1" eb="2">
      <t>エン</t>
    </rPh>
    <rPh sb="4" eb="5">
      <t>カイ</t>
    </rPh>
    <phoneticPr fontId="5"/>
  </si>
  <si>
    <t>5.4円/1枠</t>
    <rPh sb="3" eb="4">
      <t>エン</t>
    </rPh>
    <rPh sb="6" eb="7">
      <t>ワク</t>
    </rPh>
    <phoneticPr fontId="5"/>
  </si>
  <si>
    <t>価格表確認のこと</t>
    <rPh sb="0" eb="2">
      <t>カカク</t>
    </rPh>
    <rPh sb="2" eb="3">
      <t>ヒョウ</t>
    </rPh>
    <rPh sb="3" eb="5">
      <t>カクニン</t>
    </rPh>
    <phoneticPr fontId="5"/>
  </si>
  <si>
    <t>仮焼成+本焼成　５５万円/１バッチ</t>
    <rPh sb="0" eb="1">
      <t>カリ</t>
    </rPh>
    <rPh sb="1" eb="3">
      <t>ショウセイ</t>
    </rPh>
    <rPh sb="4" eb="5">
      <t>ホン</t>
    </rPh>
    <rPh sb="5" eb="7">
      <t>ショウセイ</t>
    </rPh>
    <rPh sb="10" eb="12">
      <t>マンエン</t>
    </rPh>
    <phoneticPr fontId="5"/>
  </si>
  <si>
    <r>
      <rPr>
        <sz val="11"/>
        <color rgb="FFFF0000"/>
        <rFont val="ＭＳ Ｐゴシック"/>
        <family val="3"/>
        <charset val="128"/>
      </rPr>
      <t>280X280mm</t>
    </r>
    <r>
      <rPr>
        <sz val="11"/>
        <rFont val="ＭＳ Ｐゴシック"/>
        <family val="3"/>
        <charset val="128"/>
      </rPr>
      <t>の棚板に製品がいくつ乗るのか</t>
    </r>
    <rPh sb="10" eb="12">
      <t>タナイタ</t>
    </rPh>
    <rPh sb="13" eb="15">
      <t>セイヒン</t>
    </rPh>
    <rPh sb="19" eb="20">
      <t>ノ</t>
    </rPh>
    <phoneticPr fontId="5"/>
  </si>
  <si>
    <r>
      <t>面積ｃｍ２　ｘ　厚みcm x　１９．３　ｘ　</t>
    </r>
    <r>
      <rPr>
        <sz val="11"/>
        <color rgb="FFFF0000"/>
        <rFont val="ＭＳ Ｐゴシック"/>
        <family val="3"/>
        <charset val="128"/>
      </rPr>
      <t>１３４２０</t>
    </r>
    <r>
      <rPr>
        <sz val="11"/>
        <rFont val="ＭＳ Ｐゴシック"/>
        <family val="3"/>
        <charset val="128"/>
      </rPr>
      <t xml:space="preserve"> x １．６２</t>
    </r>
    <rPh sb="0" eb="2">
      <t>メンセキ</t>
    </rPh>
    <rPh sb="8" eb="9">
      <t>アツ</t>
    </rPh>
    <phoneticPr fontId="5"/>
  </si>
  <si>
    <r>
      <t>１建浴　</t>
    </r>
    <r>
      <rPr>
        <sz val="11"/>
        <color rgb="FFFF0000"/>
        <rFont val="ＭＳ Ｐゴシック"/>
        <family val="3"/>
        <charset val="128"/>
      </rPr>
      <t>７３５００円</t>
    </r>
    <r>
      <rPr>
        <sz val="11"/>
        <rFont val="ＭＳ Ｐゴシック"/>
        <family val="3"/>
        <charset val="128"/>
      </rPr>
      <t>の液で何個処理きるかで計算</t>
    </r>
    <rPh sb="1" eb="3">
      <t>ケンヨク</t>
    </rPh>
    <rPh sb="9" eb="10">
      <t>エン</t>
    </rPh>
    <rPh sb="11" eb="12">
      <t>エキ</t>
    </rPh>
    <rPh sb="13" eb="15">
      <t>ナンコ</t>
    </rPh>
    <rPh sb="15" eb="17">
      <t>ショリ</t>
    </rPh>
    <rPh sb="21" eb="23">
      <t>ケイサン</t>
    </rPh>
    <phoneticPr fontId="5"/>
  </si>
  <si>
    <t>めっき製造へ確認</t>
    <rPh sb="3" eb="5">
      <t>セイゾウ</t>
    </rPh>
    <rPh sb="6" eb="8">
      <t>カクニン</t>
    </rPh>
    <phoneticPr fontId="5"/>
  </si>
  <si>
    <t>ブロックサイズ(焼)</t>
    <rPh sb="8" eb="9">
      <t>ヤキ</t>
    </rPh>
    <phoneticPr fontId="29"/>
  </si>
  <si>
    <t>枠（VF）</t>
    <phoneticPr fontId="5"/>
  </si>
  <si>
    <t>747/[((110/(生サイズ+1)) x (260/(生サイズ+1)))x2]</t>
    <rPh sb="13" eb="14">
      <t>ナマ</t>
    </rPh>
    <rPh sb="30" eb="31">
      <t>ナマ</t>
    </rPh>
    <phoneticPr fontId="5"/>
  </si>
  <si>
    <t>/</t>
    <phoneticPr fontId="5"/>
  </si>
  <si>
    <t>導通ｾｯﾄ</t>
    <rPh sb="0" eb="2">
      <t>ドウツウ</t>
    </rPh>
    <phoneticPr fontId="5"/>
  </si>
  <si>
    <t>342/[(240/(焼きサイズ+2)) x (170/(焼きサイズ+2))]</t>
    <rPh sb="11" eb="12">
      <t>ヤ</t>
    </rPh>
    <rPh sb="13" eb="14">
      <t>ナマ</t>
    </rPh>
    <rPh sb="29" eb="30">
      <t>ヤ</t>
    </rPh>
    <rPh sb="31" eb="32">
      <t>ナマ</t>
    </rPh>
    <phoneticPr fontId="5"/>
  </si>
  <si>
    <t>240X170mmのSUSメッシュ棚板に製品がいくつ乗るのか</t>
    <rPh sb="17" eb="18">
      <t>タナ</t>
    </rPh>
    <rPh sb="18" eb="19">
      <t>イタ</t>
    </rPh>
    <rPh sb="20" eb="22">
      <t>セイヒン</t>
    </rPh>
    <rPh sb="26" eb="27">
      <t>ノ</t>
    </rPh>
    <phoneticPr fontId="5"/>
  </si>
  <si>
    <r>
      <t>利益</t>
    </r>
    <r>
      <rPr>
        <b/>
        <sz val="11"/>
        <color rgb="FFFF0000"/>
        <rFont val="ＭＳ Ｐゴシック"/>
        <family val="3"/>
        <charset val="128"/>
        <scheme val="minor"/>
      </rPr>
      <t>15%</t>
    </r>
    <rPh sb="0" eb="2">
      <t>リエキ</t>
    </rPh>
    <phoneticPr fontId="29"/>
  </si>
  <si>
    <t>(スネークパターンのめっき導通)</t>
    <rPh sb="13" eb="15">
      <t>ドウツウ</t>
    </rPh>
    <phoneticPr fontId="5"/>
  </si>
  <si>
    <r>
      <rPr>
        <sz val="11"/>
        <color rgb="FFFF0000"/>
        <rFont val="ＭＳ Ｐゴシック"/>
        <family val="3"/>
        <charset val="128"/>
      </rPr>
      <t>110X260mmx2棚　</t>
    </r>
    <r>
      <rPr>
        <sz val="11"/>
        <rFont val="ＭＳ Ｐゴシック"/>
        <family val="3"/>
        <charset val="128"/>
      </rPr>
      <t>のMo棚板に製品がいくつ乗るのか</t>
    </r>
    <rPh sb="11" eb="12">
      <t>タナ</t>
    </rPh>
    <rPh sb="16" eb="18">
      <t>タナイタ</t>
    </rPh>
    <rPh sb="19" eb="21">
      <t>セイヒン</t>
    </rPh>
    <rPh sb="25" eb="26">
      <t>ノ</t>
    </rPh>
    <phoneticPr fontId="5"/>
  </si>
  <si>
    <r>
      <t>Ａｕメッキ</t>
    </r>
    <r>
      <rPr>
        <b/>
        <sz val="11"/>
        <color rgb="FFFF00FF"/>
        <rFont val="ＭＳ ゴシック"/>
        <family val="3"/>
        <charset val="128"/>
      </rPr>
      <t>0．5</t>
    </r>
    <r>
      <rPr>
        <b/>
        <sz val="11"/>
        <color indexed="8"/>
        <rFont val="ＭＳ ゴシック"/>
        <family val="3"/>
        <charset val="128"/>
      </rPr>
      <t>ｕｍ仕様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</si>
</sst>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_ "/>
    <numFmt numFmtId="178" formatCode="0.0"/>
    <numFmt numFmtId="179" formatCode="0.00;[Red]0.00"/>
    <numFmt numFmtId="180" formatCode="0.000000000000000000_ "/>
  </numFmts>
  <fonts count="4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sz val="8"/>
      <color indexed="8"/>
      <name val="ＭＳ 明朝"/>
      <family val="1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明朝"/>
      <family val="1"/>
      <charset val="128"/>
    </font>
    <font>
      <sz val="11"/>
      <color indexed="11"/>
      <name val="ＭＳ ゴシック"/>
      <family val="3"/>
      <charset val="128"/>
    </font>
    <font>
      <sz val="11"/>
      <color indexed="14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9"/>
      <name val="ＭＳ ゴシック"/>
      <family val="3"/>
      <charset val="128"/>
    </font>
    <font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ゴシック"/>
      <family val="3"/>
      <charset val="128"/>
    </font>
    <font>
      <b/>
      <sz val="11"/>
      <color rgb="FF0000FF"/>
      <name val="ＭＳ ゴシック"/>
      <family val="3"/>
      <charset val="128"/>
    </font>
    <font>
      <b/>
      <sz val="11"/>
      <color rgb="FFFF00FF"/>
      <name val="ＭＳ ゴシック"/>
      <family val="3"/>
      <charset val="128"/>
    </font>
    <font>
      <b/>
      <sz val="11"/>
      <color rgb="FFFF9900"/>
      <name val="ＭＳ 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u/>
      <sz val="12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9"/>
      <name val="Meiryo UI"/>
      <family val="3"/>
      <charset val="128"/>
    </font>
    <font>
      <u/>
      <sz val="14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vertAlign val="superscript"/>
      <sz val="10"/>
      <color theme="1"/>
      <name val="Meiryo UI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00B050"/>
      <name val="ＭＳ ゴシック"/>
      <family val="3"/>
      <charset val="128"/>
    </font>
    <font>
      <b/>
      <sz val="11"/>
      <color rgb="FFFFC000"/>
      <name val="ＭＳ 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 diagonalUp="1"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4" fillId="0" borderId="0">
      <alignment vertical="center"/>
    </xf>
  </cellStyleXfs>
  <cellXfs count="326">
    <xf numFmtId="0" fontId="0" fillId="0" borderId="0" xfId="0"/>
    <xf numFmtId="0" fontId="9" fillId="0" borderId="0" xfId="1" applyFont="1"/>
    <xf numFmtId="0" fontId="6" fillId="0" borderId="0" xfId="1" applyFont="1"/>
    <xf numFmtId="0" fontId="7" fillId="0" borderId="0" xfId="1" applyFont="1"/>
    <xf numFmtId="0" fontId="14" fillId="0" borderId="0" xfId="1" applyFont="1"/>
    <xf numFmtId="0" fontId="15" fillId="0" borderId="0" xfId="1" applyFont="1"/>
    <xf numFmtId="0" fontId="16" fillId="0" borderId="0" xfId="1" applyFont="1"/>
    <xf numFmtId="0" fontId="17" fillId="0" borderId="0" xfId="1" applyFont="1"/>
    <xf numFmtId="0" fontId="9" fillId="2" borderId="0" xfId="1" applyFont="1" applyFill="1"/>
    <xf numFmtId="0" fontId="10" fillId="2" borderId="0" xfId="1" applyFont="1" applyFill="1"/>
    <xf numFmtId="0" fontId="9" fillId="2" borderId="0" xfId="1" applyFont="1" applyFill="1" applyAlignment="1">
      <alignment horizontal="left"/>
    </xf>
    <xf numFmtId="0" fontId="9" fillId="2" borderId="1" xfId="1" applyFont="1" applyFill="1" applyBorder="1"/>
    <xf numFmtId="0" fontId="9" fillId="2" borderId="2" xfId="1" applyFont="1" applyFill="1" applyBorder="1"/>
    <xf numFmtId="0" fontId="9" fillId="2" borderId="2" xfId="1" applyFont="1" applyFill="1" applyBorder="1" applyAlignment="1">
      <alignment horizontal="left"/>
    </xf>
    <xf numFmtId="0" fontId="9" fillId="2" borderId="3" xfId="1" applyFont="1" applyFill="1" applyBorder="1" applyAlignment="1">
      <alignment horizontal="left"/>
    </xf>
    <xf numFmtId="0" fontId="9" fillId="2" borderId="4" xfId="1" applyFont="1" applyFill="1" applyBorder="1"/>
    <xf numFmtId="0" fontId="9" fillId="2" borderId="2" xfId="1" applyFont="1" applyFill="1" applyBorder="1" applyAlignment="1">
      <alignment horizontal="right"/>
    </xf>
    <xf numFmtId="0" fontId="9" fillId="2" borderId="5" xfId="1" applyFont="1" applyFill="1" applyBorder="1"/>
    <xf numFmtId="0" fontId="9" fillId="2" borderId="5" xfId="1" applyFont="1" applyFill="1" applyBorder="1" applyAlignment="1">
      <alignment horizontal="left"/>
    </xf>
    <xf numFmtId="0" fontId="9" fillId="2" borderId="5" xfId="1" applyFont="1" applyFill="1" applyBorder="1" applyAlignment="1">
      <alignment horizontal="right"/>
    </xf>
    <xf numFmtId="0" fontId="11" fillId="2" borderId="2" xfId="1" quotePrefix="1" applyFont="1" applyFill="1" applyBorder="1" applyAlignment="1">
      <alignment horizontal="right"/>
    </xf>
    <xf numFmtId="0" fontId="11" fillId="2" borderId="4" xfId="1" applyFont="1" applyFill="1" applyBorder="1" applyAlignment="1">
      <alignment horizontal="right"/>
    </xf>
    <xf numFmtId="0" fontId="9" fillId="2" borderId="6" xfId="1" applyFont="1" applyFill="1" applyBorder="1"/>
    <xf numFmtId="0" fontId="9" fillId="2" borderId="7" xfId="1" applyFont="1" applyFill="1" applyBorder="1"/>
    <xf numFmtId="0" fontId="9" fillId="2" borderId="8" xfId="1" applyFont="1" applyFill="1" applyBorder="1"/>
    <xf numFmtId="0" fontId="12" fillId="2" borderId="8" xfId="1" applyFont="1" applyFill="1" applyBorder="1"/>
    <xf numFmtId="0" fontId="9" fillId="2" borderId="3" xfId="1" applyFont="1" applyFill="1" applyBorder="1"/>
    <xf numFmtId="0" fontId="9" fillId="2" borderId="9" xfId="1" applyFont="1" applyFill="1" applyBorder="1"/>
    <xf numFmtId="0" fontId="9" fillId="2" borderId="10" xfId="1" applyFont="1" applyFill="1" applyBorder="1"/>
    <xf numFmtId="0" fontId="9" fillId="2" borderId="11" xfId="1" applyFont="1" applyFill="1" applyBorder="1"/>
    <xf numFmtId="0" fontId="9" fillId="2" borderId="12" xfId="1" quotePrefix="1" applyFont="1" applyFill="1" applyBorder="1"/>
    <xf numFmtId="0" fontId="9" fillId="2" borderId="13" xfId="1" applyFont="1" applyFill="1" applyBorder="1" applyAlignment="1">
      <alignment horizontal="left"/>
    </xf>
    <xf numFmtId="0" fontId="9" fillId="2" borderId="14" xfId="1" applyFont="1" applyFill="1" applyBorder="1"/>
    <xf numFmtId="0" fontId="9" fillId="2" borderId="14" xfId="1" quotePrefix="1" applyFont="1" applyFill="1" applyBorder="1"/>
    <xf numFmtId="0" fontId="9" fillId="2" borderId="15" xfId="1" applyFont="1" applyFill="1" applyBorder="1"/>
    <xf numFmtId="2" fontId="9" fillId="2" borderId="16" xfId="1" applyNumberFormat="1" applyFont="1" applyFill="1" applyBorder="1"/>
    <xf numFmtId="179" fontId="9" fillId="2" borderId="17" xfId="1" applyNumberFormat="1" applyFont="1" applyFill="1" applyBorder="1"/>
    <xf numFmtId="2" fontId="9" fillId="2" borderId="18" xfId="1" applyNumberFormat="1" applyFont="1" applyFill="1" applyBorder="1"/>
    <xf numFmtId="179" fontId="9" fillId="2" borderId="19" xfId="1" applyNumberFormat="1" applyFont="1" applyFill="1" applyBorder="1"/>
    <xf numFmtId="2" fontId="9" fillId="2" borderId="20" xfId="1" applyNumberFormat="1" applyFont="1" applyFill="1" applyBorder="1"/>
    <xf numFmtId="2" fontId="9" fillId="2" borderId="17" xfId="1" applyNumberFormat="1" applyFont="1" applyFill="1" applyBorder="1"/>
    <xf numFmtId="0" fontId="9" fillId="2" borderId="0" xfId="1" quotePrefix="1" applyFont="1" applyFill="1"/>
    <xf numFmtId="0" fontId="9" fillId="2" borderId="21" xfId="1" applyFont="1" applyFill="1" applyBorder="1" applyAlignment="1">
      <alignment horizontal="left"/>
    </xf>
    <xf numFmtId="179" fontId="9" fillId="2" borderId="9" xfId="1" applyNumberFormat="1" applyFont="1" applyFill="1" applyBorder="1"/>
    <xf numFmtId="2" fontId="9" fillId="2" borderId="21" xfId="1" applyNumberFormat="1" applyFont="1" applyFill="1" applyBorder="1"/>
    <xf numFmtId="179" fontId="9" fillId="2" borderId="15" xfId="1" applyNumberFormat="1" applyFont="1" applyFill="1" applyBorder="1"/>
    <xf numFmtId="2" fontId="9" fillId="2" borderId="22" xfId="1" applyNumberFormat="1" applyFont="1" applyFill="1" applyBorder="1"/>
    <xf numFmtId="2" fontId="9" fillId="2" borderId="9" xfId="1" applyNumberFormat="1" applyFont="1" applyFill="1" applyBorder="1"/>
    <xf numFmtId="2" fontId="9" fillId="2" borderId="15" xfId="1" applyNumberFormat="1" applyFont="1" applyFill="1" applyBorder="1"/>
    <xf numFmtId="0" fontId="9" fillId="2" borderId="23" xfId="1" applyFont="1" applyFill="1" applyBorder="1"/>
    <xf numFmtId="0" fontId="9" fillId="2" borderId="24" xfId="1" applyFont="1" applyFill="1" applyBorder="1"/>
    <xf numFmtId="0" fontId="9" fillId="2" borderId="25" xfId="1" quotePrefix="1" applyFont="1" applyFill="1" applyBorder="1"/>
    <xf numFmtId="0" fontId="9" fillId="2" borderId="26" xfId="1" applyFont="1" applyFill="1" applyBorder="1" applyAlignment="1">
      <alignment horizontal="left"/>
    </xf>
    <xf numFmtId="0" fontId="9" fillId="2" borderId="27" xfId="1" applyFont="1" applyFill="1" applyBorder="1"/>
    <xf numFmtId="0" fontId="9" fillId="2" borderId="27" xfId="1" quotePrefix="1" applyFont="1" applyFill="1" applyBorder="1"/>
    <xf numFmtId="0" fontId="9" fillId="2" borderId="28" xfId="1" applyFont="1" applyFill="1" applyBorder="1"/>
    <xf numFmtId="2" fontId="9" fillId="2" borderId="29" xfId="1" applyNumberFormat="1" applyFont="1" applyFill="1" applyBorder="1"/>
    <xf numFmtId="179" fontId="9" fillId="2" borderId="23" xfId="1" applyNumberFormat="1" applyFont="1" applyFill="1" applyBorder="1"/>
    <xf numFmtId="2" fontId="9" fillId="2" borderId="26" xfId="1" applyNumberFormat="1" applyFont="1" applyFill="1" applyBorder="1"/>
    <xf numFmtId="179" fontId="9" fillId="2" borderId="28" xfId="1" applyNumberFormat="1" applyFont="1" applyFill="1" applyBorder="1"/>
    <xf numFmtId="2" fontId="9" fillId="2" borderId="30" xfId="1" applyNumberFormat="1" applyFont="1" applyFill="1" applyBorder="1"/>
    <xf numFmtId="2" fontId="9" fillId="2" borderId="23" xfId="1" applyNumberFormat="1" applyFont="1" applyFill="1" applyBorder="1"/>
    <xf numFmtId="2" fontId="9" fillId="2" borderId="31" xfId="1" applyNumberFormat="1" applyFont="1" applyFill="1" applyBorder="1"/>
    <xf numFmtId="0" fontId="9" fillId="2" borderId="32" xfId="1" applyFont="1" applyFill="1" applyBorder="1"/>
    <xf numFmtId="2" fontId="9" fillId="2" borderId="33" xfId="1" applyNumberFormat="1" applyFont="1" applyFill="1" applyBorder="1"/>
    <xf numFmtId="2" fontId="9" fillId="2" borderId="0" xfId="1" applyNumberFormat="1" applyFont="1" applyFill="1"/>
    <xf numFmtId="0" fontId="13" fillId="2" borderId="9" xfId="1" applyFont="1" applyFill="1" applyBorder="1"/>
    <xf numFmtId="2" fontId="13" fillId="2" borderId="9" xfId="1" applyNumberFormat="1" applyFont="1" applyFill="1" applyBorder="1"/>
    <xf numFmtId="2" fontId="9" fillId="2" borderId="25" xfId="1" applyNumberFormat="1" applyFont="1" applyFill="1" applyBorder="1"/>
    <xf numFmtId="0" fontId="9" fillId="2" borderId="34" xfId="1" applyFont="1" applyFill="1" applyBorder="1"/>
    <xf numFmtId="0" fontId="18" fillId="2" borderId="1" xfId="1" applyFont="1" applyFill="1" applyBorder="1"/>
    <xf numFmtId="177" fontId="9" fillId="2" borderId="3" xfId="1" applyNumberFormat="1" applyFont="1" applyFill="1" applyBorder="1"/>
    <xf numFmtId="2" fontId="9" fillId="2" borderId="2" xfId="1" applyNumberFormat="1" applyFont="1" applyFill="1" applyBorder="1"/>
    <xf numFmtId="2" fontId="9" fillId="2" borderId="3" xfId="1" applyNumberFormat="1" applyFont="1" applyFill="1" applyBorder="1"/>
    <xf numFmtId="0" fontId="9" fillId="2" borderId="17" xfId="1" applyFont="1" applyFill="1" applyBorder="1"/>
    <xf numFmtId="2" fontId="9" fillId="2" borderId="20" xfId="1" applyNumberFormat="1" applyFont="1" applyFill="1" applyBorder="1" applyAlignment="1">
      <alignment horizontal="left"/>
    </xf>
    <xf numFmtId="0" fontId="9" fillId="2" borderId="20" xfId="1" applyFont="1" applyFill="1" applyBorder="1"/>
    <xf numFmtId="2" fontId="9" fillId="2" borderId="22" xfId="1" applyNumberFormat="1" applyFont="1" applyFill="1" applyBorder="1" applyAlignment="1">
      <alignment horizontal="left"/>
    </xf>
    <xf numFmtId="0" fontId="9" fillId="2" borderId="22" xfId="1" applyFont="1" applyFill="1" applyBorder="1"/>
    <xf numFmtId="0" fontId="6" fillId="2" borderId="0" xfId="1" applyFont="1" applyFill="1"/>
    <xf numFmtId="180" fontId="9" fillId="2" borderId="0" xfId="1" applyNumberFormat="1" applyFont="1" applyFill="1"/>
    <xf numFmtId="0" fontId="18" fillId="2" borderId="35" xfId="1" applyFont="1" applyFill="1" applyBorder="1" applyAlignment="1">
      <alignment horizontal="center"/>
    </xf>
    <xf numFmtId="0" fontId="19" fillId="2" borderId="36" xfId="1" applyFont="1" applyFill="1" applyBorder="1" applyAlignment="1">
      <alignment horizontal="center"/>
    </xf>
    <xf numFmtId="0" fontId="7" fillId="2" borderId="0" xfId="1" applyFont="1" applyFill="1"/>
    <xf numFmtId="9" fontId="9" fillId="2" borderId="0" xfId="1" applyNumberFormat="1" applyFont="1" applyFill="1"/>
    <xf numFmtId="0" fontId="14" fillId="2" borderId="0" xfId="1" applyFont="1" applyFill="1"/>
    <xf numFmtId="9" fontId="9" fillId="2" borderId="37" xfId="1" applyNumberFormat="1" applyFont="1" applyFill="1" applyBorder="1" applyAlignment="1">
      <alignment horizontal="center"/>
    </xf>
    <xf numFmtId="178" fontId="10" fillId="2" borderId="38" xfId="1" applyNumberFormat="1" applyFont="1" applyFill="1" applyBorder="1" applyAlignment="1">
      <alignment horizontal="center" vertical="center"/>
    </xf>
    <xf numFmtId="176" fontId="12" fillId="2" borderId="0" xfId="1" applyNumberFormat="1" applyFont="1" applyFill="1"/>
    <xf numFmtId="2" fontId="10" fillId="2" borderId="0" xfId="1" applyNumberFormat="1" applyFont="1" applyFill="1"/>
    <xf numFmtId="0" fontId="12" fillId="2" borderId="0" xfId="1" applyFont="1" applyFill="1"/>
    <xf numFmtId="1" fontId="9" fillId="2" borderId="17" xfId="1" applyNumberFormat="1" applyFont="1" applyFill="1" applyBorder="1" applyAlignment="1">
      <alignment horizontal="center"/>
    </xf>
    <xf numFmtId="1" fontId="9" fillId="2" borderId="33" xfId="1" applyNumberFormat="1" applyFont="1" applyFill="1" applyBorder="1"/>
    <xf numFmtId="1" fontId="9" fillId="2" borderId="20" xfId="1" applyNumberFormat="1" applyFont="1" applyFill="1" applyBorder="1" applyAlignment="1">
      <alignment horizontal="center"/>
    </xf>
    <xf numFmtId="9" fontId="9" fillId="2" borderId="39" xfId="1" applyNumberFormat="1" applyFont="1" applyFill="1" applyBorder="1" applyAlignment="1">
      <alignment horizontal="center"/>
    </xf>
    <xf numFmtId="178" fontId="10" fillId="2" borderId="40" xfId="1" applyNumberFormat="1" applyFont="1" applyFill="1" applyBorder="1" applyAlignment="1">
      <alignment horizontal="center" vertical="center"/>
    </xf>
    <xf numFmtId="0" fontId="12" fillId="2" borderId="0" xfId="1" quotePrefix="1" applyFont="1" applyFill="1"/>
    <xf numFmtId="2" fontId="10" fillId="2" borderId="0" xfId="1" quotePrefix="1" applyNumberFormat="1" applyFont="1" applyFill="1"/>
    <xf numFmtId="2" fontId="9" fillId="2" borderId="30" xfId="1" applyNumberFormat="1" applyFont="1" applyFill="1" applyBorder="1" applyAlignment="1">
      <alignment horizontal="left"/>
    </xf>
    <xf numFmtId="0" fontId="9" fillId="2" borderId="30" xfId="1" applyFont="1" applyFill="1" applyBorder="1"/>
    <xf numFmtId="2" fontId="9" fillId="2" borderId="41" xfId="1" applyNumberFormat="1" applyFont="1" applyFill="1" applyBorder="1"/>
    <xf numFmtId="2" fontId="9" fillId="2" borderId="42" xfId="1" applyNumberFormat="1" applyFont="1" applyFill="1" applyBorder="1"/>
    <xf numFmtId="179" fontId="9" fillId="2" borderId="43" xfId="1" applyNumberFormat="1" applyFont="1" applyFill="1" applyBorder="1"/>
    <xf numFmtId="2" fontId="9" fillId="2" borderId="44" xfId="1" applyNumberFormat="1" applyFont="1" applyFill="1" applyBorder="1"/>
    <xf numFmtId="179" fontId="9" fillId="2" borderId="45" xfId="1" applyNumberFormat="1" applyFont="1" applyFill="1" applyBorder="1"/>
    <xf numFmtId="2" fontId="9" fillId="2" borderId="46" xfId="1" applyNumberFormat="1" applyFont="1" applyFill="1" applyBorder="1"/>
    <xf numFmtId="179" fontId="9" fillId="2" borderId="47" xfId="1" applyNumberFormat="1" applyFont="1" applyFill="1" applyBorder="1"/>
    <xf numFmtId="2" fontId="9" fillId="2" borderId="48" xfId="1" applyNumberFormat="1" applyFont="1" applyFill="1" applyBorder="1"/>
    <xf numFmtId="2" fontId="9" fillId="2" borderId="49" xfId="1" applyNumberFormat="1" applyFont="1" applyFill="1" applyBorder="1"/>
    <xf numFmtId="2" fontId="9" fillId="2" borderId="50" xfId="1" applyNumberFormat="1" applyFont="1" applyFill="1" applyBorder="1"/>
    <xf numFmtId="2" fontId="9" fillId="2" borderId="43" xfId="1" applyNumberFormat="1" applyFont="1" applyFill="1" applyBorder="1"/>
    <xf numFmtId="2" fontId="9" fillId="2" borderId="45" xfId="1" applyNumberFormat="1" applyFont="1" applyFill="1" applyBorder="1"/>
    <xf numFmtId="0" fontId="13" fillId="2" borderId="45" xfId="1" applyFont="1" applyFill="1" applyBorder="1"/>
    <xf numFmtId="2" fontId="9" fillId="2" borderId="47" xfId="1" applyNumberFormat="1" applyFont="1" applyFill="1" applyBorder="1"/>
    <xf numFmtId="0" fontId="0" fillId="0" borderId="51" xfId="0" applyBorder="1"/>
    <xf numFmtId="0" fontId="0" fillId="0" borderId="51" xfId="0" applyBorder="1" applyAlignment="1">
      <alignment horizontal="center"/>
    </xf>
    <xf numFmtId="0" fontId="20" fillId="0" borderId="0" xfId="0" applyFont="1"/>
    <xf numFmtId="0" fontId="0" fillId="0" borderId="51" xfId="0" quotePrefix="1" applyBorder="1"/>
    <xf numFmtId="0" fontId="0" fillId="0" borderId="51" xfId="0" applyBorder="1" applyAlignment="1">
      <alignment horizontal="right"/>
    </xf>
    <xf numFmtId="0" fontId="9" fillId="0" borderId="0" xfId="0" applyFont="1"/>
    <xf numFmtId="0" fontId="23" fillId="0" borderId="51" xfId="0" applyFont="1" applyBorder="1"/>
    <xf numFmtId="0" fontId="22" fillId="2" borderId="0" xfId="1" applyFont="1" applyFill="1"/>
    <xf numFmtId="0" fontId="24" fillId="2" borderId="0" xfId="1" applyFont="1" applyFill="1"/>
    <xf numFmtId="0" fontId="24" fillId="2" borderId="9" xfId="1" applyFont="1" applyFill="1" applyBorder="1"/>
    <xf numFmtId="0" fontId="25" fillId="2" borderId="9" xfId="1" applyFont="1" applyFill="1" applyBorder="1"/>
    <xf numFmtId="0" fontId="25" fillId="2" borderId="0" xfId="1" applyFont="1" applyFill="1"/>
    <xf numFmtId="0" fontId="26" fillId="2" borderId="21" xfId="1" applyFont="1" applyFill="1" applyBorder="1" applyAlignment="1">
      <alignment horizontal="left"/>
    </xf>
    <xf numFmtId="0" fontId="27" fillId="2" borderId="21" xfId="1" applyFont="1" applyFill="1" applyBorder="1" applyAlignment="1">
      <alignment horizontal="left"/>
    </xf>
    <xf numFmtId="0" fontId="27" fillId="2" borderId="0" xfId="1" applyFont="1" applyFill="1"/>
    <xf numFmtId="0" fontId="25" fillId="2" borderId="2" xfId="1" applyFont="1" applyFill="1" applyBorder="1"/>
    <xf numFmtId="0" fontId="24" fillId="2" borderId="2" xfId="1" applyFont="1" applyFill="1" applyBorder="1"/>
    <xf numFmtId="0" fontId="10" fillId="2" borderId="9" xfId="1" applyFont="1" applyFill="1" applyBorder="1"/>
    <xf numFmtId="0" fontId="28" fillId="0" borderId="0" xfId="2" applyFont="1">
      <alignment vertical="center"/>
    </xf>
    <xf numFmtId="0" fontId="4" fillId="0" borderId="0" xfId="2">
      <alignment vertical="center"/>
    </xf>
    <xf numFmtId="0" fontId="4" fillId="0" borderId="0" xfId="2" applyAlignment="1">
      <alignment horizontal="right" vertical="center"/>
    </xf>
    <xf numFmtId="0" fontId="30" fillId="0" borderId="0" xfId="2" applyFont="1">
      <alignment vertical="center"/>
    </xf>
    <xf numFmtId="0" fontId="31" fillId="0" borderId="0" xfId="2" applyFont="1" applyAlignment="1">
      <alignment horizontal="center" vertical="center"/>
    </xf>
    <xf numFmtId="0" fontId="31" fillId="0" borderId="0" xfId="2" applyFont="1">
      <alignment vertical="center"/>
    </xf>
    <xf numFmtId="0" fontId="32" fillId="0" borderId="0" xfId="2" applyFont="1" applyAlignment="1">
      <alignment vertical="center" shrinkToFit="1"/>
    </xf>
    <xf numFmtId="0" fontId="32" fillId="0" borderId="25" xfId="2" applyFont="1" applyBorder="1" applyAlignment="1">
      <alignment horizontal="center" vertical="center" shrinkToFit="1"/>
    </xf>
    <xf numFmtId="0" fontId="34" fillId="0" borderId="0" xfId="2" applyFont="1" applyAlignment="1">
      <alignment vertical="center" shrinkToFit="1"/>
    </xf>
    <xf numFmtId="0" fontId="33" fillId="0" borderId="0" xfId="2" applyFont="1" applyAlignment="1">
      <alignment vertical="center" shrinkToFit="1"/>
    </xf>
    <xf numFmtId="0" fontId="36" fillId="4" borderId="53" xfId="2" quotePrefix="1" applyFont="1" applyFill="1" applyBorder="1" applyAlignment="1">
      <alignment horizontal="left" vertical="center" shrinkToFit="1"/>
    </xf>
    <xf numFmtId="0" fontId="37" fillId="0" borderId="0" xfId="2" applyFont="1" applyAlignment="1">
      <alignment horizontal="center" vertical="center" shrinkToFit="1"/>
    </xf>
    <xf numFmtId="0" fontId="38" fillId="0" borderId="58" xfId="2" quotePrefix="1" applyFont="1" applyBorder="1" applyAlignment="1">
      <alignment horizontal="left" vertical="center" shrinkToFit="1"/>
    </xf>
    <xf numFmtId="0" fontId="32" fillId="0" borderId="61" xfId="2" quotePrefix="1" applyFont="1" applyBorder="1" applyAlignment="1">
      <alignment horizontal="left" vertical="center" shrinkToFit="1"/>
    </xf>
    <xf numFmtId="0" fontId="38" fillId="0" borderId="66" xfId="2" quotePrefix="1" applyFont="1" applyBorder="1" applyAlignment="1">
      <alignment horizontal="left" vertical="center" shrinkToFit="1"/>
    </xf>
    <xf numFmtId="0" fontId="32" fillId="0" borderId="69" xfId="2" quotePrefix="1" applyFont="1" applyBorder="1" applyAlignment="1">
      <alignment horizontal="left" vertical="center" shrinkToFit="1"/>
    </xf>
    <xf numFmtId="0" fontId="32" fillId="0" borderId="70" xfId="2" quotePrefix="1" applyFont="1" applyBorder="1" applyAlignment="1">
      <alignment horizontal="left" vertical="center" shrinkToFit="1"/>
    </xf>
    <xf numFmtId="0" fontId="33" fillId="0" borderId="0" xfId="2" applyFont="1" applyAlignment="1">
      <alignment horizontal="center" vertical="center" shrinkToFit="1"/>
    </xf>
    <xf numFmtId="0" fontId="38" fillId="0" borderId="71" xfId="2" quotePrefix="1" applyFont="1" applyBorder="1" applyAlignment="1">
      <alignment horizontal="left" vertical="center" shrinkToFit="1"/>
    </xf>
    <xf numFmtId="0" fontId="38" fillId="0" borderId="70" xfId="2" quotePrefix="1" applyFont="1" applyBorder="1" applyAlignment="1">
      <alignment horizontal="left" vertical="center" shrinkToFit="1"/>
    </xf>
    <xf numFmtId="0" fontId="38" fillId="0" borderId="72" xfId="2" quotePrefix="1" applyFont="1" applyBorder="1" applyAlignment="1">
      <alignment horizontal="left" vertical="center" shrinkToFit="1"/>
    </xf>
    <xf numFmtId="0" fontId="32" fillId="0" borderId="75" xfId="2" quotePrefix="1" applyFont="1" applyBorder="1" applyAlignment="1">
      <alignment horizontal="left" vertical="center" shrinkToFit="1"/>
    </xf>
    <xf numFmtId="0" fontId="32" fillId="0" borderId="77" xfId="2" applyFont="1" applyBorder="1" applyAlignment="1">
      <alignment vertical="center" shrinkToFit="1"/>
    </xf>
    <xf numFmtId="0" fontId="32" fillId="0" borderId="77" xfId="2" applyFont="1" applyBorder="1" applyAlignment="1">
      <alignment horizontal="center" vertical="center" shrinkToFit="1"/>
    </xf>
    <xf numFmtId="0" fontId="36" fillId="4" borderId="81" xfId="2" quotePrefix="1" applyFont="1" applyFill="1" applyBorder="1" applyAlignment="1">
      <alignment horizontal="left" vertical="center" shrinkToFit="1"/>
    </xf>
    <xf numFmtId="0" fontId="38" fillId="2" borderId="58" xfId="2" applyFont="1" applyFill="1" applyBorder="1" applyAlignment="1">
      <alignment horizontal="left" vertical="center" shrinkToFit="1"/>
    </xf>
    <xf numFmtId="0" fontId="38" fillId="2" borderId="72" xfId="2" applyFont="1" applyFill="1" applyBorder="1" applyAlignment="1">
      <alignment horizontal="left" vertical="center" shrinkToFit="1"/>
    </xf>
    <xf numFmtId="0" fontId="38" fillId="2" borderId="66" xfId="2" applyFont="1" applyFill="1" applyBorder="1" applyAlignment="1">
      <alignment horizontal="left" vertical="center" shrinkToFit="1"/>
    </xf>
    <xf numFmtId="0" fontId="38" fillId="2" borderId="93" xfId="2" applyFont="1" applyFill="1" applyBorder="1" applyAlignment="1">
      <alignment horizontal="left" vertical="center" shrinkToFit="1"/>
    </xf>
    <xf numFmtId="0" fontId="38" fillId="0" borderId="58" xfId="2" applyFont="1" applyBorder="1" applyAlignment="1">
      <alignment horizontal="left" vertical="center" shrinkToFit="1"/>
    </xf>
    <xf numFmtId="0" fontId="38" fillId="0" borderId="72" xfId="2" applyFont="1" applyBorder="1" applyAlignment="1">
      <alignment horizontal="left" vertical="center" shrinkToFit="1"/>
    </xf>
    <xf numFmtId="0" fontId="32" fillId="3" borderId="0" xfId="2" applyFont="1" applyFill="1" applyAlignment="1">
      <alignment vertical="center" shrinkToFit="1"/>
    </xf>
    <xf numFmtId="0" fontId="38" fillId="0" borderId="66" xfId="2" applyFont="1" applyBorder="1" applyAlignment="1">
      <alignment horizontal="left" vertical="center" shrinkToFit="1"/>
    </xf>
    <xf numFmtId="0" fontId="32" fillId="0" borderId="0" xfId="2" applyFont="1" applyAlignment="1">
      <alignment horizontal="center" vertical="center" shrinkToFit="1"/>
    </xf>
    <xf numFmtId="0" fontId="32" fillId="0" borderId="0" xfId="2" applyFont="1" applyAlignment="1">
      <alignment horizontal="left" vertical="center" shrinkToFit="1"/>
    </xf>
    <xf numFmtId="0" fontId="38" fillId="0" borderId="71" xfId="2" applyFont="1" applyBorder="1" applyAlignment="1">
      <alignment horizontal="left" vertical="center" shrinkToFit="1"/>
    </xf>
    <xf numFmtId="0" fontId="38" fillId="0" borderId="94" xfId="2" applyFont="1" applyBorder="1" applyAlignment="1">
      <alignment horizontal="left" vertical="center" shrinkToFit="1"/>
    </xf>
    <xf numFmtId="0" fontId="38" fillId="0" borderId="93" xfId="2" quotePrefix="1" applyFont="1" applyBorder="1" applyAlignment="1">
      <alignment horizontal="left" vertical="center" shrinkToFit="1"/>
    </xf>
    <xf numFmtId="0" fontId="38" fillId="0" borderId="58" xfId="2" applyFont="1" applyBorder="1" applyAlignment="1">
      <alignment vertical="center" shrinkToFit="1"/>
    </xf>
    <xf numFmtId="0" fontId="38" fillId="0" borderId="99" xfId="2" applyFont="1" applyBorder="1" applyAlignment="1">
      <alignment vertical="center" shrinkToFit="1"/>
    </xf>
    <xf numFmtId="0" fontId="38" fillId="0" borderId="72" xfId="2" applyFont="1" applyBorder="1" applyAlignment="1">
      <alignment vertical="center" shrinkToFit="1"/>
    </xf>
    <xf numFmtId="0" fontId="38" fillId="0" borderId="106" xfId="2" applyFont="1" applyBorder="1" applyAlignment="1">
      <alignment vertical="center" shrinkToFit="1"/>
    </xf>
    <xf numFmtId="0" fontId="38" fillId="0" borderId="81" xfId="2" applyFont="1" applyBorder="1" applyAlignment="1">
      <alignment horizontal="left" vertical="center" shrinkToFit="1"/>
    </xf>
    <xf numFmtId="0" fontId="38" fillId="0" borderId="94" xfId="2" quotePrefix="1" applyFont="1" applyBorder="1" applyAlignment="1">
      <alignment horizontal="left" vertical="center" shrinkToFit="1"/>
    </xf>
    <xf numFmtId="0" fontId="38" fillId="0" borderId="58" xfId="2" applyFont="1" applyBorder="1">
      <alignment vertical="center"/>
    </xf>
    <xf numFmtId="0" fontId="38" fillId="0" borderId="119" xfId="2" applyFont="1" applyBorder="1">
      <alignment vertical="center"/>
    </xf>
    <xf numFmtId="0" fontId="38" fillId="0" borderId="99" xfId="2" applyFont="1" applyBorder="1">
      <alignment vertical="center"/>
    </xf>
    <xf numFmtId="0" fontId="38" fillId="0" borderId="93" xfId="2" applyFont="1" applyBorder="1" applyAlignment="1">
      <alignment horizontal="left" vertical="center" shrinkToFit="1"/>
    </xf>
    <xf numFmtId="0" fontId="38" fillId="0" borderId="72" xfId="2" applyFont="1" applyBorder="1">
      <alignment vertical="center"/>
    </xf>
    <xf numFmtId="0" fontId="38" fillId="0" borderId="93" xfId="2" applyFont="1" applyBorder="1">
      <alignment vertical="center"/>
    </xf>
    <xf numFmtId="0" fontId="38" fillId="0" borderId="106" xfId="2" applyFont="1" applyBorder="1" applyAlignment="1">
      <alignment horizontal="left" vertical="center" shrinkToFit="1"/>
    </xf>
    <xf numFmtId="0" fontId="38" fillId="0" borderId="0" xfId="2" applyFont="1" applyAlignment="1">
      <alignment vertical="center" shrinkToFit="1"/>
    </xf>
    <xf numFmtId="0" fontId="3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43" fillId="0" borderId="0" xfId="2" applyFont="1">
      <alignment vertical="center"/>
    </xf>
    <xf numFmtId="0" fontId="44" fillId="0" borderId="51" xfId="0" applyFont="1" applyBorder="1"/>
    <xf numFmtId="55" fontId="23" fillId="0" borderId="51" xfId="0" applyNumberFormat="1" applyFont="1" applyBorder="1"/>
    <xf numFmtId="0" fontId="2" fillId="0" borderId="0" xfId="2" applyFont="1">
      <alignment vertical="center"/>
    </xf>
    <xf numFmtId="1" fontId="0" fillId="0" borderId="51" xfId="0" quotePrefix="1" applyNumberFormat="1" applyBorder="1"/>
    <xf numFmtId="2" fontId="31" fillId="3" borderId="34" xfId="2" applyNumberFormat="1" applyFont="1" applyFill="1" applyBorder="1" applyAlignment="1">
      <alignment horizontal="left" vertical="center" indent="1"/>
    </xf>
    <xf numFmtId="2" fontId="31" fillId="3" borderId="34" xfId="2" applyNumberFormat="1" applyFont="1" applyFill="1" applyBorder="1">
      <alignment vertical="center"/>
    </xf>
    <xf numFmtId="0" fontId="1" fillId="0" borderId="0" xfId="2" applyFont="1">
      <alignment vertical="center"/>
    </xf>
    <xf numFmtId="9" fontId="43" fillId="0" borderId="0" xfId="2" applyNumberFormat="1" applyFont="1">
      <alignment vertical="center"/>
    </xf>
    <xf numFmtId="0" fontId="45" fillId="2" borderId="9" xfId="1" applyFont="1" applyFill="1" applyBorder="1"/>
    <xf numFmtId="0" fontId="25" fillId="2" borderId="23" xfId="1" applyFont="1" applyFill="1" applyBorder="1"/>
    <xf numFmtId="0" fontId="46" fillId="2" borderId="9" xfId="1" applyFont="1" applyFill="1" applyBorder="1"/>
    <xf numFmtId="0" fontId="31" fillId="3" borderId="34" xfId="2" applyFont="1" applyFill="1" applyBorder="1" applyAlignment="1">
      <alignment horizontal="center" vertical="center"/>
    </xf>
    <xf numFmtId="0" fontId="9" fillId="5" borderId="10" xfId="1" applyFont="1" applyFill="1" applyBorder="1"/>
    <xf numFmtId="0" fontId="9" fillId="6" borderId="10" xfId="1" applyFont="1" applyFill="1" applyBorder="1"/>
    <xf numFmtId="0" fontId="9" fillId="6" borderId="24" xfId="1" applyFont="1" applyFill="1" applyBorder="1"/>
    <xf numFmtId="0" fontId="9" fillId="0" borderId="15" xfId="1" applyFont="1" applyBorder="1"/>
    <xf numFmtId="0" fontId="33" fillId="0" borderId="25" xfId="2" applyFont="1" applyBorder="1" applyAlignment="1">
      <alignment horizontal="center" vertical="center" shrinkToFit="1"/>
    </xf>
    <xf numFmtId="0" fontId="35" fillId="0" borderId="0" xfId="2" applyFont="1" applyAlignment="1">
      <alignment horizontal="center" vertical="center" shrinkToFit="1"/>
    </xf>
    <xf numFmtId="0" fontId="35" fillId="0" borderId="65" xfId="2" applyFont="1" applyBorder="1" applyAlignment="1">
      <alignment horizontal="center" vertical="center" shrinkToFit="1"/>
    </xf>
    <xf numFmtId="0" fontId="32" fillId="3" borderId="52" xfId="2" applyFont="1" applyFill="1" applyBorder="1" applyAlignment="1">
      <alignment horizontal="center" vertical="center" textRotation="255" shrinkToFit="1"/>
    </xf>
    <xf numFmtId="0" fontId="32" fillId="3" borderId="57" xfId="2" applyFont="1" applyFill="1" applyBorder="1" applyAlignment="1">
      <alignment horizontal="center" vertical="center" textRotation="255" shrinkToFit="1"/>
    </xf>
    <xf numFmtId="0" fontId="32" fillId="3" borderId="41" xfId="2" applyFont="1" applyFill="1" applyBorder="1" applyAlignment="1">
      <alignment horizontal="center" vertical="center" textRotation="255" shrinkToFit="1"/>
    </xf>
    <xf numFmtId="0" fontId="32" fillId="4" borderId="54" xfId="2" applyFont="1" applyFill="1" applyBorder="1" applyAlignment="1">
      <alignment horizontal="left" vertical="center" shrinkToFit="1"/>
    </xf>
    <xf numFmtId="0" fontId="32" fillId="4" borderId="55" xfId="2" applyFont="1" applyFill="1" applyBorder="1" applyAlignment="1">
      <alignment horizontal="left" vertical="center" shrinkToFit="1"/>
    </xf>
    <xf numFmtId="0" fontId="32" fillId="4" borderId="56" xfId="2" applyFont="1" applyFill="1" applyBorder="1" applyAlignment="1">
      <alignment horizontal="left" vertical="center" shrinkToFit="1"/>
    </xf>
    <xf numFmtId="0" fontId="39" fillId="3" borderId="59" xfId="2" applyFont="1" applyFill="1" applyBorder="1" applyAlignment="1">
      <alignment horizontal="left" vertical="center" shrinkToFit="1"/>
    </xf>
    <xf numFmtId="0" fontId="39" fillId="3" borderId="60" xfId="2" applyFont="1" applyFill="1" applyBorder="1" applyAlignment="1">
      <alignment horizontal="left" vertical="center" shrinkToFit="1"/>
    </xf>
    <xf numFmtId="0" fontId="32" fillId="0" borderId="62" xfId="2" applyFont="1" applyBorder="1" applyAlignment="1">
      <alignment horizontal="left" vertical="center" shrinkToFit="1"/>
    </xf>
    <xf numFmtId="0" fontId="32" fillId="0" borderId="63" xfId="2" applyFont="1" applyBorder="1" applyAlignment="1">
      <alignment horizontal="left" vertical="center" shrinkToFit="1"/>
    </xf>
    <xf numFmtId="0" fontId="32" fillId="0" borderId="64" xfId="2" applyFont="1" applyBorder="1" applyAlignment="1">
      <alignment horizontal="left" vertical="center" shrinkToFit="1"/>
    </xf>
    <xf numFmtId="0" fontId="39" fillId="3" borderId="67" xfId="2" applyFont="1" applyFill="1" applyBorder="1" applyAlignment="1">
      <alignment horizontal="left" vertical="center" shrinkToFit="1"/>
    </xf>
    <xf numFmtId="0" fontId="39" fillId="3" borderId="68" xfId="2" applyFont="1" applyFill="1" applyBorder="1" applyAlignment="1">
      <alignment horizontal="left" vertical="center" shrinkToFit="1"/>
    </xf>
    <xf numFmtId="0" fontId="32" fillId="0" borderId="67" xfId="2" applyFont="1" applyBorder="1" applyAlignment="1">
      <alignment horizontal="center" vertical="center" shrinkToFit="1"/>
    </xf>
    <xf numFmtId="0" fontId="32" fillId="0" borderId="68" xfId="2" applyFont="1" applyBorder="1" applyAlignment="1">
      <alignment horizontal="center" vertical="center" shrinkToFit="1"/>
    </xf>
    <xf numFmtId="0" fontId="32" fillId="0" borderId="62" xfId="2" applyFont="1" applyBorder="1" applyAlignment="1">
      <alignment horizontal="center" vertical="center" shrinkToFit="1"/>
    </xf>
    <xf numFmtId="0" fontId="32" fillId="0" borderId="64" xfId="2" applyFont="1" applyBorder="1" applyAlignment="1">
      <alignment horizontal="center" vertical="center" shrinkToFit="1"/>
    </xf>
    <xf numFmtId="0" fontId="33" fillId="0" borderId="0" xfId="2" applyFont="1" applyAlignment="1">
      <alignment horizontal="center" vertical="center" shrinkToFit="1"/>
    </xf>
    <xf numFmtId="0" fontId="33" fillId="0" borderId="65" xfId="2" applyFont="1" applyBorder="1" applyAlignment="1">
      <alignment horizontal="center" vertical="center" shrinkToFit="1"/>
    </xf>
    <xf numFmtId="0" fontId="39" fillId="3" borderId="62" xfId="2" applyFont="1" applyFill="1" applyBorder="1" applyAlignment="1">
      <alignment horizontal="left" vertical="center" shrinkToFit="1"/>
    </xf>
    <xf numFmtId="0" fontId="39" fillId="3" borderId="63" xfId="2" applyFont="1" applyFill="1" applyBorder="1" applyAlignment="1">
      <alignment horizontal="left" vertical="center" shrinkToFit="1"/>
    </xf>
    <xf numFmtId="0" fontId="39" fillId="3" borderId="73" xfId="2" applyFont="1" applyFill="1" applyBorder="1" applyAlignment="1">
      <alignment horizontal="left" vertical="center" shrinkToFit="1"/>
    </xf>
    <xf numFmtId="0" fontId="39" fillId="3" borderId="74" xfId="2" applyFont="1" applyFill="1" applyBorder="1" applyAlignment="1">
      <alignment horizontal="left" vertical="center" shrinkToFit="1"/>
    </xf>
    <xf numFmtId="0" fontId="32" fillId="0" borderId="73" xfId="2" applyFont="1" applyBorder="1" applyAlignment="1">
      <alignment horizontal="center" vertical="center" shrinkToFit="1"/>
    </xf>
    <xf numFmtId="0" fontId="32" fillId="0" borderId="76" xfId="2" applyFont="1" applyBorder="1" applyAlignment="1">
      <alignment horizontal="center" vertical="center" shrinkToFit="1"/>
    </xf>
    <xf numFmtId="0" fontId="32" fillId="0" borderId="78" xfId="2" applyFont="1" applyBorder="1" applyAlignment="1">
      <alignment horizontal="center" vertical="center" shrinkToFit="1"/>
    </xf>
    <xf numFmtId="0" fontId="32" fillId="0" borderId="79" xfId="2" applyFont="1" applyBorder="1" applyAlignment="1">
      <alignment horizontal="center" vertical="center" shrinkToFit="1"/>
    </xf>
    <xf numFmtId="0" fontId="32" fillId="0" borderId="80" xfId="2" applyFont="1" applyBorder="1" applyAlignment="1">
      <alignment horizontal="center" vertical="center" shrinkToFit="1"/>
    </xf>
    <xf numFmtId="0" fontId="39" fillId="0" borderId="77" xfId="2" applyFont="1" applyBorder="1" applyAlignment="1">
      <alignment horizontal="center" vertical="center" shrinkToFit="1"/>
    </xf>
    <xf numFmtId="0" fontId="32" fillId="4" borderId="82" xfId="2" applyFont="1" applyFill="1" applyBorder="1" applyAlignment="1">
      <alignment horizontal="left" vertical="center" shrinkToFit="1"/>
    </xf>
    <xf numFmtId="0" fontId="32" fillId="4" borderId="83" xfId="2" applyFont="1" applyFill="1" applyBorder="1" applyAlignment="1">
      <alignment horizontal="left" vertical="center" shrinkToFit="1"/>
    </xf>
    <xf numFmtId="0" fontId="32" fillId="4" borderId="84" xfId="2" applyFont="1" applyFill="1" applyBorder="1" applyAlignment="1">
      <alignment horizontal="left" vertical="center" shrinkToFit="1"/>
    </xf>
    <xf numFmtId="49" fontId="32" fillId="0" borderId="85" xfId="2" applyNumberFormat="1" applyFont="1" applyBorder="1" applyAlignment="1">
      <alignment horizontal="center" vertical="center" shrinkToFit="1"/>
    </xf>
    <xf numFmtId="49" fontId="32" fillId="0" borderId="51" xfId="2" applyNumberFormat="1" applyFont="1" applyBorder="1" applyAlignment="1">
      <alignment horizontal="center" vertical="center" shrinkToFit="1"/>
    </xf>
    <xf numFmtId="0" fontId="32" fillId="0" borderId="86" xfId="2" applyFont="1" applyBorder="1" applyAlignment="1">
      <alignment horizontal="left" vertical="center" shrinkToFit="1"/>
    </xf>
    <xf numFmtId="0" fontId="32" fillId="0" borderId="87" xfId="2" applyFont="1" applyBorder="1" applyAlignment="1">
      <alignment horizontal="left" vertical="center" shrinkToFit="1"/>
    </xf>
    <xf numFmtId="0" fontId="32" fillId="0" borderId="82" xfId="2" applyFont="1" applyBorder="1" applyAlignment="1">
      <alignment horizontal="left" vertical="center" shrinkToFit="1"/>
    </xf>
    <xf numFmtId="0" fontId="32" fillId="0" borderId="83" xfId="2" applyFont="1" applyBorder="1" applyAlignment="1">
      <alignment horizontal="left" vertical="center" shrinkToFit="1"/>
    </xf>
    <xf numFmtId="0" fontId="39" fillId="0" borderId="87" xfId="2" applyFont="1" applyBorder="1" applyAlignment="1">
      <alignment horizontal="center" vertical="center" shrinkToFit="1"/>
    </xf>
    <xf numFmtId="0" fontId="39" fillId="0" borderId="83" xfId="2" applyFont="1" applyBorder="1" applyAlignment="1">
      <alignment horizontal="center" vertical="center" shrinkToFit="1"/>
    </xf>
    <xf numFmtId="0" fontId="39" fillId="0" borderId="88" xfId="2" applyFont="1" applyBorder="1" applyAlignment="1">
      <alignment horizontal="center" vertical="center" shrinkToFit="1"/>
    </xf>
    <xf numFmtId="0" fontId="39" fillId="0" borderId="81" xfId="2" applyFont="1" applyBorder="1" applyAlignment="1">
      <alignment horizontal="center" vertical="center" shrinkToFit="1"/>
    </xf>
    <xf numFmtId="0" fontId="39" fillId="0" borderId="86" xfId="2" applyFont="1" applyBorder="1" applyAlignment="1">
      <alignment horizontal="center" vertical="center" shrinkToFit="1"/>
    </xf>
    <xf numFmtId="0" fontId="39" fillId="0" borderId="82" xfId="2" applyFont="1" applyBorder="1" applyAlignment="1">
      <alignment horizontal="center" vertical="center" shrinkToFit="1"/>
    </xf>
    <xf numFmtId="0" fontId="32" fillId="0" borderId="85" xfId="2" applyFont="1" applyBorder="1" applyAlignment="1">
      <alignment horizontal="center" vertical="center" shrinkToFit="1"/>
    </xf>
    <xf numFmtId="0" fontId="32" fillId="0" borderId="51" xfId="2" applyFont="1" applyBorder="1" applyAlignment="1">
      <alignment horizontal="center" vertical="center" shrinkToFit="1"/>
    </xf>
    <xf numFmtId="0" fontId="32" fillId="2" borderId="61" xfId="2" applyFont="1" applyFill="1" applyBorder="1" applyAlignment="1">
      <alignment horizontal="left" vertical="center" shrinkToFit="1"/>
    </xf>
    <xf numFmtId="0" fontId="32" fillId="2" borderId="89" xfId="2" applyFont="1" applyFill="1" applyBorder="1" applyAlignment="1">
      <alignment horizontal="left" vertical="center" shrinkToFit="1"/>
    </xf>
    <xf numFmtId="0" fontId="32" fillId="2" borderId="70" xfId="2" applyFont="1" applyFill="1" applyBorder="1" applyAlignment="1">
      <alignment horizontal="left" vertical="center" shrinkToFit="1"/>
    </xf>
    <xf numFmtId="0" fontId="32" fillId="2" borderId="90" xfId="2" applyFont="1" applyFill="1" applyBorder="1" applyAlignment="1">
      <alignment horizontal="left" vertical="center" shrinkToFit="1"/>
    </xf>
    <xf numFmtId="0" fontId="32" fillId="2" borderId="62" xfId="2" applyFont="1" applyFill="1" applyBorder="1" applyAlignment="1">
      <alignment horizontal="left" vertical="center" shrinkToFit="1"/>
    </xf>
    <xf numFmtId="0" fontId="32" fillId="2" borderId="63" xfId="2" applyFont="1" applyFill="1" applyBorder="1" applyAlignment="1">
      <alignment horizontal="left" vertical="center" shrinkToFit="1"/>
    </xf>
    <xf numFmtId="0" fontId="32" fillId="2" borderId="64" xfId="2" applyFont="1" applyFill="1" applyBorder="1" applyAlignment="1">
      <alignment horizontal="left" vertical="center" shrinkToFit="1"/>
    </xf>
    <xf numFmtId="0" fontId="32" fillId="2" borderId="91" xfId="2" applyFont="1" applyFill="1" applyBorder="1" applyAlignment="1">
      <alignment horizontal="left" vertical="center" shrinkToFit="1"/>
    </xf>
    <xf numFmtId="0" fontId="32" fillId="2" borderId="92" xfId="2" applyFont="1" applyFill="1" applyBorder="1" applyAlignment="1">
      <alignment horizontal="left" vertical="center" shrinkToFit="1"/>
    </xf>
    <xf numFmtId="0" fontId="32" fillId="2" borderId="73" xfId="2" applyFont="1" applyFill="1" applyBorder="1" applyAlignment="1">
      <alignment horizontal="left" vertical="center" shrinkToFit="1"/>
    </xf>
    <xf numFmtId="0" fontId="32" fillId="2" borderId="74" xfId="2" applyFont="1" applyFill="1" applyBorder="1" applyAlignment="1">
      <alignment horizontal="left" vertical="center" shrinkToFit="1"/>
    </xf>
    <xf numFmtId="0" fontId="32" fillId="2" borderId="76" xfId="2" applyFont="1" applyFill="1" applyBorder="1" applyAlignment="1">
      <alignment horizontal="left" vertical="center" shrinkToFit="1"/>
    </xf>
    <xf numFmtId="0" fontId="32" fillId="0" borderId="61" xfId="2" applyFont="1" applyBorder="1" applyAlignment="1">
      <alignment horizontal="left" vertical="center" shrinkToFit="1"/>
    </xf>
    <xf numFmtId="0" fontId="32" fillId="0" borderId="89" xfId="2" applyFont="1" applyBorder="1" applyAlignment="1">
      <alignment horizontal="left" vertical="center" shrinkToFit="1"/>
    </xf>
    <xf numFmtId="0" fontId="32" fillId="0" borderId="70" xfId="2" applyFont="1" applyBorder="1" applyAlignment="1">
      <alignment horizontal="left" vertical="center" shrinkToFit="1"/>
    </xf>
    <xf numFmtId="0" fontId="32" fillId="0" borderId="90" xfId="2" applyFont="1" applyBorder="1" applyAlignment="1">
      <alignment horizontal="left" vertical="center" shrinkToFit="1"/>
    </xf>
    <xf numFmtId="0" fontId="32" fillId="0" borderId="82" xfId="2" applyFont="1" applyBorder="1" applyAlignment="1">
      <alignment horizontal="center" vertical="center" shrinkToFit="1"/>
    </xf>
    <xf numFmtId="0" fontId="32" fillId="0" borderId="83" xfId="2" applyFont="1" applyBorder="1" applyAlignment="1">
      <alignment horizontal="center" vertical="center" shrinkToFit="1"/>
    </xf>
    <xf numFmtId="0" fontId="32" fillId="0" borderId="0" xfId="2" applyFont="1" applyAlignment="1">
      <alignment horizontal="left" vertical="center" shrinkToFit="1"/>
    </xf>
    <xf numFmtId="0" fontId="32" fillId="0" borderId="73" xfId="2" applyFont="1" applyBorder="1" applyAlignment="1">
      <alignment horizontal="left" vertical="center" shrinkToFit="1"/>
    </xf>
    <xf numFmtId="0" fontId="32" fillId="0" borderId="74" xfId="2" applyFont="1" applyBorder="1" applyAlignment="1">
      <alignment horizontal="left" vertical="center" shrinkToFit="1"/>
    </xf>
    <xf numFmtId="0" fontId="32" fillId="0" borderId="76" xfId="2" applyFont="1" applyBorder="1" applyAlignment="1">
      <alignment horizontal="left" vertical="center" shrinkToFit="1"/>
    </xf>
    <xf numFmtId="0" fontId="32" fillId="0" borderId="12" xfId="2" applyFont="1" applyBorder="1" applyAlignment="1">
      <alignment horizontal="left" vertical="center" shrinkToFit="1"/>
    </xf>
    <xf numFmtId="0" fontId="32" fillId="0" borderId="100" xfId="2" applyFont="1" applyBorder="1" applyAlignment="1">
      <alignment vertical="center" shrinkToFit="1"/>
    </xf>
    <xf numFmtId="0" fontId="32" fillId="0" borderId="101" xfId="2" applyFont="1" applyBorder="1" applyAlignment="1">
      <alignment vertical="center" shrinkToFit="1"/>
    </xf>
    <xf numFmtId="0" fontId="32" fillId="0" borderId="102" xfId="2" applyFont="1" applyBorder="1" applyAlignment="1">
      <alignment vertical="center" shrinkToFit="1"/>
    </xf>
    <xf numFmtId="0" fontId="32" fillId="0" borderId="75" xfId="2" applyFont="1" applyBorder="1" applyAlignment="1">
      <alignment horizontal="left" vertical="center" shrinkToFit="1"/>
    </xf>
    <xf numFmtId="0" fontId="32" fillId="0" borderId="95" xfId="2" applyFont="1" applyBorder="1" applyAlignment="1">
      <alignment horizontal="left" vertical="center" shrinkToFit="1"/>
    </xf>
    <xf numFmtId="0" fontId="40" fillId="4" borderId="82" xfId="2" applyFont="1" applyFill="1" applyBorder="1" applyAlignment="1">
      <alignment horizontal="left" vertical="center" shrinkToFit="1"/>
    </xf>
    <xf numFmtId="0" fontId="40" fillId="4" borderId="83" xfId="2" applyFont="1" applyFill="1" applyBorder="1" applyAlignment="1">
      <alignment horizontal="left" vertical="center" shrinkToFit="1"/>
    </xf>
    <xf numFmtId="0" fontId="40" fillId="4" borderId="84" xfId="2" applyFont="1" applyFill="1" applyBorder="1" applyAlignment="1">
      <alignment horizontal="left" vertical="center" shrinkToFit="1"/>
    </xf>
    <xf numFmtId="0" fontId="32" fillId="0" borderId="96" xfId="2" applyFont="1" applyBorder="1" applyAlignment="1">
      <alignment vertical="center" shrinkToFit="1"/>
    </xf>
    <xf numFmtId="0" fontId="32" fillId="0" borderId="97" xfId="2" applyFont="1" applyBorder="1" applyAlignment="1">
      <alignment vertical="center" shrinkToFit="1"/>
    </xf>
    <xf numFmtId="0" fontId="32" fillId="0" borderId="98" xfId="2" applyFont="1" applyBorder="1" applyAlignment="1">
      <alignment vertical="center" shrinkToFit="1"/>
    </xf>
    <xf numFmtId="0" fontId="32" fillId="0" borderId="120" xfId="2" applyFont="1" applyBorder="1">
      <alignment vertical="center"/>
    </xf>
    <xf numFmtId="0" fontId="32" fillId="0" borderId="101" xfId="2" applyFont="1" applyBorder="1">
      <alignment vertical="center"/>
    </xf>
    <xf numFmtId="0" fontId="32" fillId="0" borderId="121" xfId="2" applyFont="1" applyBorder="1">
      <alignment vertical="center"/>
    </xf>
    <xf numFmtId="0" fontId="32" fillId="3" borderId="103" xfId="2" applyFont="1" applyFill="1" applyBorder="1" applyAlignment="1">
      <alignment vertical="center" shrinkToFit="1"/>
    </xf>
    <xf numFmtId="0" fontId="32" fillId="3" borderId="104" xfId="2" applyFont="1" applyFill="1" applyBorder="1" applyAlignment="1">
      <alignment vertical="center" shrinkToFit="1"/>
    </xf>
    <xf numFmtId="0" fontId="32" fillId="3" borderId="105" xfId="2" applyFont="1" applyFill="1" applyBorder="1" applyAlignment="1">
      <alignment vertical="center" shrinkToFit="1"/>
    </xf>
    <xf numFmtId="0" fontId="32" fillId="3" borderId="100" xfId="2" applyFont="1" applyFill="1" applyBorder="1" applyAlignment="1">
      <alignment vertical="center" shrinkToFit="1"/>
    </xf>
    <xf numFmtId="0" fontId="32" fillId="3" borderId="101" xfId="2" applyFont="1" applyFill="1" applyBorder="1" applyAlignment="1">
      <alignment vertical="center" shrinkToFit="1"/>
    </xf>
    <xf numFmtId="0" fontId="32" fillId="3" borderId="102" xfId="2" applyFont="1" applyFill="1" applyBorder="1" applyAlignment="1">
      <alignment vertical="center" shrinkToFit="1"/>
    </xf>
    <xf numFmtId="0" fontId="32" fillId="3" borderId="107" xfId="2" applyFont="1" applyFill="1" applyBorder="1" applyAlignment="1">
      <alignment vertical="center" shrinkToFit="1"/>
    </xf>
    <xf numFmtId="0" fontId="32" fillId="3" borderId="108" xfId="2" applyFont="1" applyFill="1" applyBorder="1" applyAlignment="1">
      <alignment vertical="center" shrinkToFit="1"/>
    </xf>
    <xf numFmtId="0" fontId="32" fillId="3" borderId="109" xfId="2" applyFont="1" applyFill="1" applyBorder="1" applyAlignment="1">
      <alignment vertical="center" shrinkToFit="1"/>
    </xf>
    <xf numFmtId="0" fontId="40" fillId="3" borderId="52" xfId="2" applyFont="1" applyFill="1" applyBorder="1" applyAlignment="1">
      <alignment horizontal="center" vertical="center" textRotation="255" shrinkToFit="1"/>
    </xf>
    <xf numFmtId="0" fontId="40" fillId="3" borderId="57" xfId="2" applyFont="1" applyFill="1" applyBorder="1" applyAlignment="1">
      <alignment horizontal="center" vertical="center" textRotation="255" shrinkToFit="1"/>
    </xf>
    <xf numFmtId="0" fontId="40" fillId="3" borderId="41" xfId="2" applyFont="1" applyFill="1" applyBorder="1" applyAlignment="1">
      <alignment horizontal="center" vertical="center" textRotation="255" shrinkToFit="1"/>
    </xf>
    <xf numFmtId="0" fontId="32" fillId="4" borderId="82" xfId="2" applyFont="1" applyFill="1" applyBorder="1" applyAlignment="1">
      <alignment horizontal="left" vertical="center"/>
    </xf>
    <xf numFmtId="0" fontId="32" fillId="4" borderId="83" xfId="2" applyFont="1" applyFill="1" applyBorder="1" applyAlignment="1">
      <alignment horizontal="left" vertical="center"/>
    </xf>
    <xf numFmtId="0" fontId="32" fillId="4" borderId="81" xfId="2" applyFont="1" applyFill="1" applyBorder="1" applyAlignment="1">
      <alignment horizontal="left" vertical="center"/>
    </xf>
    <xf numFmtId="0" fontId="32" fillId="0" borderId="73" xfId="2" applyFont="1" applyBorder="1" applyAlignment="1">
      <alignment horizontal="left" vertical="center" wrapText="1" shrinkToFit="1"/>
    </xf>
    <xf numFmtId="0" fontId="32" fillId="0" borderId="117" xfId="2" applyFont="1" applyBorder="1">
      <alignment vertical="center"/>
    </xf>
    <xf numFmtId="0" fontId="32" fillId="0" borderId="97" xfId="2" applyFont="1" applyBorder="1">
      <alignment vertical="center"/>
    </xf>
    <xf numFmtId="0" fontId="32" fillId="0" borderId="118" xfId="2" applyFont="1" applyBorder="1">
      <alignment vertical="center"/>
    </xf>
    <xf numFmtId="0" fontId="32" fillId="0" borderId="110" xfId="2" applyFont="1" applyBorder="1" applyAlignment="1">
      <alignment horizontal="left" vertical="center" shrinkToFit="1"/>
    </xf>
    <xf numFmtId="0" fontId="32" fillId="0" borderId="111" xfId="2" applyFont="1" applyBorder="1" applyAlignment="1">
      <alignment horizontal="left" vertical="center" shrinkToFit="1"/>
    </xf>
    <xf numFmtId="0" fontId="32" fillId="0" borderId="112" xfId="2" applyFont="1" applyBorder="1" applyAlignment="1">
      <alignment horizontal="left" vertical="center" shrinkToFit="1"/>
    </xf>
    <xf numFmtId="0" fontId="32" fillId="0" borderId="59" xfId="2" applyFont="1" applyBorder="1" applyAlignment="1">
      <alignment horizontal="left" vertical="center" shrinkToFit="1"/>
    </xf>
    <xf numFmtId="0" fontId="32" fillId="0" borderId="60" xfId="2" applyFont="1" applyBorder="1" applyAlignment="1">
      <alignment horizontal="left" vertical="center" shrinkToFit="1"/>
    </xf>
    <xf numFmtId="0" fontId="32" fillId="0" borderId="113" xfId="2" applyFont="1" applyBorder="1" applyAlignment="1">
      <alignment horizontal="left" vertical="center" shrinkToFit="1"/>
    </xf>
    <xf numFmtId="0" fontId="32" fillId="0" borderId="114" xfId="2" applyFont="1" applyBorder="1" applyAlignment="1">
      <alignment horizontal="left" vertical="center" shrinkToFit="1"/>
    </xf>
    <xf numFmtId="0" fontId="32" fillId="0" borderId="115" xfId="2" applyFont="1" applyBorder="1" applyAlignment="1">
      <alignment horizontal="left" vertical="center" shrinkToFit="1"/>
    </xf>
    <xf numFmtId="0" fontId="32" fillId="0" borderId="116" xfId="2" applyFont="1" applyBorder="1" applyAlignment="1">
      <alignment horizontal="left" vertical="center" shrinkToFit="1"/>
    </xf>
    <xf numFmtId="0" fontId="32" fillId="0" borderId="67" xfId="2" applyFont="1" applyBorder="1" applyAlignment="1">
      <alignment horizontal="left" vertical="center" shrinkToFit="1"/>
    </xf>
    <xf numFmtId="0" fontId="32" fillId="0" borderId="68" xfId="2" applyFont="1" applyBorder="1" applyAlignment="1">
      <alignment horizontal="left" vertical="center" shrinkToFit="1"/>
    </xf>
    <xf numFmtId="0" fontId="32" fillId="0" borderId="122" xfId="2" applyFont="1" applyBorder="1" applyAlignment="1">
      <alignment horizontal="left" vertical="center" shrinkToFit="1"/>
    </xf>
    <xf numFmtId="0" fontId="32" fillId="0" borderId="123" xfId="2" applyFont="1" applyBorder="1">
      <alignment vertical="center"/>
    </xf>
    <xf numFmtId="0" fontId="32" fillId="0" borderId="124" xfId="2" applyFont="1" applyBorder="1">
      <alignment vertical="center"/>
    </xf>
    <xf numFmtId="0" fontId="32" fillId="0" borderId="125" xfId="2" applyFont="1" applyBorder="1">
      <alignment vertical="center"/>
    </xf>
    <xf numFmtId="0" fontId="32" fillId="0" borderId="126" xfId="2" applyFont="1" applyBorder="1" applyAlignment="1">
      <alignment horizontal="left" vertical="center" shrinkToFit="1"/>
    </xf>
    <xf numFmtId="0" fontId="32" fillId="0" borderId="127" xfId="2" applyFont="1" applyBorder="1" applyAlignment="1">
      <alignment horizontal="left" vertical="center" shrinkToFit="1"/>
    </xf>
    <xf numFmtId="0" fontId="32" fillId="0" borderId="128" xfId="2" applyFont="1" applyBorder="1" applyAlignment="1">
      <alignment horizontal="left" vertical="center" shrinkToFit="1"/>
    </xf>
  </cellXfs>
  <cellStyles count="3">
    <cellStyle name="標準" xfId="0" builtinId="0"/>
    <cellStyle name="標準 2" xfId="2" xr:uid="{A9768395-EEEB-4409-A219-3085858FE6EE}"/>
    <cellStyle name="標準_AMU" xfId="1" xr:uid="{C4FDE7B5-2186-4A0A-A25B-6345BC068B9E}"/>
  </cellStyles>
  <dxfs count="0"/>
  <tableStyles count="0" defaultTableStyle="TableStyleMedium2" defaultPivotStyle="PivotStyleLight16"/>
  <colors>
    <mruColors>
      <color rgb="FFCCFF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276225</xdr:colOff>
      <xdr:row>19</xdr:row>
      <xdr:rowOff>57150</xdr:rowOff>
    </xdr:from>
    <xdr:to>
      <xdr:col>12</xdr:col>
      <xdr:colOff>295275</xdr:colOff>
      <xdr:row>44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B5B4F39-7914-4520-A697-6B76226AE7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40" r="13287"/>
        <a:stretch/>
      </xdr:blipFill>
      <xdr:spPr bwMode="auto">
        <a:xfrm>
          <a:off x="1673225" y="3429000"/>
          <a:ext cx="4260850" cy="442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682C-0F90-42AF-AD3D-E911D8717953}">
  <dimension ref="A1:H20"/>
  <sheetViews>
    <sheetView tabSelected="1" workbookViewId="0">
      <selection activeCell="L7" sqref="L7"/>
    </sheetView>
  </sheetViews>
  <sheetFormatPr defaultRowHeight="13"/>
  <cols>
    <col min="1" max="4" width="8.7265625" style="133"/>
    <col min="5" max="5" width="10.26953125" style="133" customWidth="1"/>
    <col min="6" max="16384" width="8.7265625" style="133"/>
  </cols>
  <sheetData>
    <row r="1" spans="1:8" ht="31" customHeight="1" thickBot="1">
      <c r="A1" s="132" t="s">
        <v>206</v>
      </c>
    </row>
    <row r="2" spans="1:8" ht="13.5" thickBot="1">
      <c r="A2" s="133" t="s">
        <v>207</v>
      </c>
      <c r="B2" s="133" t="s">
        <v>208</v>
      </c>
      <c r="C2" s="133" t="s">
        <v>209</v>
      </c>
      <c r="E2" s="134" t="s">
        <v>210</v>
      </c>
      <c r="F2" s="198"/>
      <c r="G2" s="133" t="s">
        <v>211</v>
      </c>
    </row>
    <row r="3" spans="1:8">
      <c r="A3" s="133" t="s">
        <v>212</v>
      </c>
      <c r="B3" s="133" t="s">
        <v>213</v>
      </c>
      <c r="C3" s="133" t="s">
        <v>214</v>
      </c>
      <c r="D3" s="133" t="s">
        <v>215</v>
      </c>
    </row>
    <row r="4" spans="1:8" ht="13.5" thickBot="1">
      <c r="A4" s="137" t="s">
        <v>216</v>
      </c>
      <c r="B4" s="186" t="s">
        <v>217</v>
      </c>
    </row>
    <row r="5" spans="1:8" ht="13.5" thickBot="1">
      <c r="A5" s="133" t="s">
        <v>218</v>
      </c>
      <c r="B5" s="189" t="s">
        <v>356</v>
      </c>
      <c r="D5" s="134" t="s">
        <v>219</v>
      </c>
      <c r="E5" s="198"/>
      <c r="F5" s="185" t="s">
        <v>340</v>
      </c>
      <c r="G5" s="198"/>
      <c r="H5" s="184" t="s">
        <v>339</v>
      </c>
    </row>
    <row r="6" spans="1:8">
      <c r="B6" s="135" t="s">
        <v>220</v>
      </c>
      <c r="C6" s="133" t="s">
        <v>221</v>
      </c>
      <c r="D6" s="136">
        <v>2</v>
      </c>
      <c r="E6" s="136">
        <v>2</v>
      </c>
      <c r="F6" s="186" t="s">
        <v>364</v>
      </c>
    </row>
    <row r="7" spans="1:8">
      <c r="B7" s="135" t="s">
        <v>222</v>
      </c>
      <c r="D7" s="136">
        <v>3</v>
      </c>
      <c r="E7" s="136">
        <v>3</v>
      </c>
    </row>
    <row r="8" spans="1:8">
      <c r="B8" s="184" t="s">
        <v>337</v>
      </c>
      <c r="C8" s="186" t="s">
        <v>338</v>
      </c>
    </row>
    <row r="9" spans="1:8">
      <c r="A9" s="133" t="s">
        <v>223</v>
      </c>
      <c r="B9" s="184" t="s">
        <v>341</v>
      </c>
    </row>
    <row r="10" spans="1:8">
      <c r="B10" s="133" t="s">
        <v>224</v>
      </c>
      <c r="C10" s="186" t="s">
        <v>225</v>
      </c>
      <c r="D10" s="133" t="s">
        <v>226</v>
      </c>
      <c r="E10" s="186" t="s">
        <v>227</v>
      </c>
    </row>
    <row r="11" spans="1:8">
      <c r="B11" s="133" t="s">
        <v>228</v>
      </c>
    </row>
    <row r="12" spans="1:8">
      <c r="B12" s="133" t="s">
        <v>229</v>
      </c>
    </row>
    <row r="13" spans="1:8">
      <c r="B13" s="133" t="s">
        <v>230</v>
      </c>
      <c r="E13" s="133" t="s">
        <v>231</v>
      </c>
    </row>
    <row r="14" spans="1:8">
      <c r="B14" s="133" t="s">
        <v>232</v>
      </c>
    </row>
    <row r="15" spans="1:8">
      <c r="B15" s="133" t="s">
        <v>233</v>
      </c>
    </row>
    <row r="16" spans="1:8">
      <c r="B16" s="133" t="s">
        <v>234</v>
      </c>
      <c r="C16" s="194">
        <v>0.25</v>
      </c>
    </row>
    <row r="18" spans="1:5">
      <c r="B18" s="133" t="s">
        <v>235</v>
      </c>
      <c r="D18" s="133">
        <v>500</v>
      </c>
      <c r="E18" s="133" t="s">
        <v>236</v>
      </c>
    </row>
    <row r="19" spans="1:5" ht="13.5" thickBot="1"/>
    <row r="20" spans="1:5" ht="13.5" thickBot="1">
      <c r="A20" s="133" t="s">
        <v>237</v>
      </c>
      <c r="B20" s="192"/>
      <c r="D20" s="193" t="s">
        <v>363</v>
      </c>
      <c r="E20" s="191"/>
    </row>
  </sheetData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4AE6-3E23-446A-96E2-5AB9D8875E3C}">
  <sheetPr>
    <pageSetUpPr fitToPage="1"/>
  </sheetPr>
  <dimension ref="A1:AA53"/>
  <sheetViews>
    <sheetView zoomScale="85" zoomScaleNormal="85" workbookViewId="0">
      <selection activeCell="AA40" sqref="AA40"/>
    </sheetView>
  </sheetViews>
  <sheetFormatPr defaultColWidth="9" defaultRowHeight="13"/>
  <cols>
    <col min="1" max="1" width="3.36328125" style="2" customWidth="1"/>
    <col min="2" max="2" width="10.6328125" style="2" customWidth="1"/>
    <col min="3" max="3" width="6.90625" style="2" customWidth="1"/>
    <col min="4" max="4" width="1.7265625" style="2" customWidth="1"/>
    <col min="5" max="5" width="6.08984375" style="2" customWidth="1"/>
    <col min="6" max="6" width="5.6328125" style="2" customWidth="1"/>
    <col min="7" max="7" width="1.90625" style="2" customWidth="1"/>
    <col min="8" max="8" width="3.90625" style="2" customWidth="1"/>
    <col min="9" max="9" width="5" style="2" customWidth="1"/>
    <col min="10" max="10" width="5.6328125" style="2" customWidth="1"/>
    <col min="11" max="12" width="7.08984375" style="2" customWidth="1"/>
    <col min="13" max="13" width="5.08984375" style="2" customWidth="1"/>
    <col min="14" max="14" width="6.26953125" style="3" customWidth="1"/>
    <col min="15" max="15" width="7" style="3" customWidth="1"/>
    <col min="16" max="16" width="6.26953125" style="4" customWidth="1"/>
    <col min="17" max="17" width="6.26953125" style="2" customWidth="1"/>
    <col min="18" max="18" width="6.26953125" style="5" customWidth="1"/>
    <col min="19" max="20" width="6.26953125" style="2" customWidth="1"/>
    <col min="21" max="21" width="7.90625" style="2" bestFit="1" customWidth="1"/>
    <col min="22" max="22" width="6.26953125" style="6" customWidth="1"/>
    <col min="23" max="23" width="6.26953125" style="2" customWidth="1"/>
    <col min="24" max="24" width="6.26953125" style="7" customWidth="1"/>
    <col min="25" max="25" width="6.26953125" style="2" customWidth="1"/>
    <col min="26" max="26" width="1.7265625" style="2" customWidth="1"/>
    <col min="27" max="16384" width="9" style="2"/>
  </cols>
  <sheetData>
    <row r="1" spans="1:27" ht="14">
      <c r="A1" s="8"/>
      <c r="B1" s="8" t="s">
        <v>2</v>
      </c>
      <c r="C1" s="121" t="s">
        <v>59</v>
      </c>
      <c r="D1" s="8"/>
      <c r="E1" s="8"/>
      <c r="F1" s="9"/>
      <c r="G1" s="9"/>
      <c r="H1" s="9"/>
      <c r="I1" s="9" t="s">
        <v>366</v>
      </c>
      <c r="J1" s="8"/>
      <c r="K1" s="8"/>
      <c r="L1" s="8"/>
      <c r="M1" s="8"/>
      <c r="N1" s="90" t="s">
        <v>190</v>
      </c>
      <c r="O1" s="8"/>
      <c r="P1" s="122">
        <v>4300</v>
      </c>
      <c r="Q1" s="8"/>
      <c r="R1" s="8"/>
      <c r="S1" s="8"/>
      <c r="T1" s="8"/>
      <c r="U1" s="8"/>
      <c r="V1" s="8"/>
      <c r="W1" s="8"/>
      <c r="X1" s="8"/>
      <c r="Y1" s="8"/>
      <c r="Z1" s="1"/>
      <c r="AA1" s="1"/>
    </row>
    <row r="2" spans="1:27" ht="13.5" thickBot="1">
      <c r="A2" s="8"/>
      <c r="B2" s="8" t="s">
        <v>4</v>
      </c>
      <c r="C2" s="8" t="s">
        <v>204</v>
      </c>
      <c r="D2" s="8"/>
      <c r="E2" s="8" t="s">
        <v>58</v>
      </c>
      <c r="F2" s="8"/>
      <c r="G2" s="8"/>
      <c r="H2" s="8"/>
      <c r="I2" s="8" t="s">
        <v>52</v>
      </c>
      <c r="J2" s="9"/>
      <c r="K2" s="8"/>
      <c r="L2" s="8"/>
      <c r="M2" s="8"/>
      <c r="N2" s="8" t="s">
        <v>191</v>
      </c>
      <c r="O2" s="10"/>
      <c r="P2" s="125">
        <v>1650</v>
      </c>
      <c r="Q2" s="10"/>
      <c r="R2" s="8"/>
      <c r="S2" s="10"/>
      <c r="T2" s="8"/>
      <c r="U2" s="10"/>
      <c r="V2" s="8"/>
      <c r="W2" s="10"/>
      <c r="X2" s="8"/>
      <c r="Y2" s="10"/>
      <c r="Z2" s="1"/>
      <c r="AA2" s="1"/>
    </row>
    <row r="3" spans="1:27" ht="13.5" thickBot="1">
      <c r="A3" s="8"/>
      <c r="B3" s="8" t="s">
        <v>0</v>
      </c>
      <c r="C3" s="8">
        <v>3</v>
      </c>
      <c r="D3" s="8"/>
      <c r="E3" s="128">
        <v>500</v>
      </c>
      <c r="F3" s="8" t="s">
        <v>200</v>
      </c>
      <c r="G3" s="8"/>
      <c r="H3" s="8"/>
      <c r="I3" s="8" t="s">
        <v>53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1" t="s">
        <v>6</v>
      </c>
      <c r="V3" s="129">
        <f>P2</f>
        <v>1650</v>
      </c>
      <c r="W3" s="13" t="s">
        <v>5</v>
      </c>
      <c r="X3" s="130">
        <f>P1</f>
        <v>4300</v>
      </c>
      <c r="Y3" s="14" t="s">
        <v>5</v>
      </c>
      <c r="Z3" s="1"/>
      <c r="AA3" s="1"/>
    </row>
    <row r="4" spans="1:27" ht="21.75" customHeight="1" thickBot="1">
      <c r="A4" s="11" t="s">
        <v>7</v>
      </c>
      <c r="B4" s="15" t="s">
        <v>62</v>
      </c>
      <c r="C4" s="11"/>
      <c r="D4" s="12"/>
      <c r="E4" s="16" t="s">
        <v>8</v>
      </c>
      <c r="F4" s="17" t="s">
        <v>9</v>
      </c>
      <c r="G4" s="18" t="s">
        <v>10</v>
      </c>
      <c r="H4" s="19"/>
      <c r="I4" s="20" t="s">
        <v>61</v>
      </c>
      <c r="J4" s="21" t="s">
        <v>11</v>
      </c>
      <c r="K4" s="22" t="s">
        <v>12</v>
      </c>
      <c r="L4" s="15" t="s">
        <v>13</v>
      </c>
      <c r="M4" s="12" t="s">
        <v>60</v>
      </c>
      <c r="N4" s="11" t="s">
        <v>14</v>
      </c>
      <c r="O4" s="23"/>
      <c r="P4" s="24" t="s">
        <v>15</v>
      </c>
      <c r="Q4" s="23"/>
      <c r="R4" s="24" t="s">
        <v>16</v>
      </c>
      <c r="S4" s="23"/>
      <c r="T4" s="25" t="s">
        <v>17</v>
      </c>
      <c r="U4" s="26"/>
      <c r="V4" s="11" t="s">
        <v>18</v>
      </c>
      <c r="W4" s="23"/>
      <c r="X4" s="24" t="s">
        <v>19</v>
      </c>
      <c r="Y4" s="26"/>
      <c r="Z4" s="1"/>
      <c r="AA4" s="1"/>
    </row>
    <row r="5" spans="1:27">
      <c r="A5" s="27">
        <v>1</v>
      </c>
      <c r="B5" s="28" t="s">
        <v>205</v>
      </c>
      <c r="C5" s="29"/>
      <c r="D5" s="30" t="s">
        <v>20</v>
      </c>
      <c r="E5" s="31"/>
      <c r="F5" s="32">
        <v>201.96</v>
      </c>
      <c r="G5" s="33" t="s">
        <v>5</v>
      </c>
      <c r="H5" s="32">
        <v>1</v>
      </c>
      <c r="I5" s="34">
        <v>1</v>
      </c>
      <c r="J5" s="28">
        <f>F46</f>
        <v>36</v>
      </c>
      <c r="K5" s="35">
        <f>F5*H5/F46</f>
        <v>5.61</v>
      </c>
      <c r="L5" s="28">
        <v>1</v>
      </c>
      <c r="M5" s="65">
        <f t="shared" ref="M5:M36" si="0">M6/L5</f>
        <v>1.1469643522832638</v>
      </c>
      <c r="N5" s="36">
        <f>K5*M5</f>
        <v>6.4344700163091098</v>
      </c>
      <c r="O5" s="101">
        <f>IF(L5&lt;&gt;1,(O4+N5)/L5,N5+O4)</f>
        <v>6.4344700163091098</v>
      </c>
      <c r="P5" s="102"/>
      <c r="Q5" s="37">
        <f>IF(L5&lt;&gt;1,(Q4+P5)/L5,P5+Q4)</f>
        <v>0</v>
      </c>
      <c r="R5" s="38"/>
      <c r="S5" s="101">
        <f>IF(L5&lt;&gt;1,(S4+R5)/L5,R5+S4)</f>
        <v>0</v>
      </c>
      <c r="T5" s="102"/>
      <c r="U5" s="39">
        <f t="shared" ref="U5:U38" si="1">IF(L5&lt;&gt;1,(U4+T5)/L5,T5+U4)</f>
        <v>0</v>
      </c>
      <c r="V5" s="40"/>
      <c r="W5" s="101">
        <f>IF(L5&lt;&gt;1,(W4+V5)/L5,V5+W4)</f>
        <v>0</v>
      </c>
      <c r="X5" s="110"/>
      <c r="Y5" s="39">
        <f t="shared" ref="Y5:Y38" si="2">IF(L5&lt;&gt;1,(Y4+X5)/L5,X5+Y4)</f>
        <v>0</v>
      </c>
      <c r="Z5" s="1"/>
      <c r="AA5" s="1"/>
    </row>
    <row r="6" spans="1:27">
      <c r="A6" s="27">
        <v>2</v>
      </c>
      <c r="B6" s="199" t="s">
        <v>194</v>
      </c>
      <c r="C6" s="195">
        <f>P1/4</f>
        <v>1075</v>
      </c>
      <c r="D6" s="41" t="s">
        <v>20</v>
      </c>
      <c r="E6" s="127">
        <f>E3</f>
        <v>500</v>
      </c>
      <c r="F6" s="32"/>
      <c r="G6" s="33" t="s">
        <v>5</v>
      </c>
      <c r="H6" s="32">
        <f>C40</f>
        <v>3</v>
      </c>
      <c r="I6" s="34">
        <v>1</v>
      </c>
      <c r="J6" s="28">
        <f>F46</f>
        <v>36</v>
      </c>
      <c r="K6" s="35">
        <f t="shared" ref="K6:K12" si="3">IF(C6&gt;0,+C6/E6*H6/I6/J6,+F6*H6/I6/J6)</f>
        <v>0.17916666666666664</v>
      </c>
      <c r="L6" s="28">
        <v>1</v>
      </c>
      <c r="M6" s="65">
        <f>M8/L6</f>
        <v>1.1469643522832638</v>
      </c>
      <c r="N6" s="43"/>
      <c r="O6" s="103">
        <f>IF(L6&lt;&gt;1,(O5+N6)/L6,N6+O5)</f>
        <v>6.4344700163091098</v>
      </c>
      <c r="P6" s="104"/>
      <c r="Q6" s="44">
        <f>IF(L6&lt;&gt;1,(Q5+P6)/L6,P6+Q5)</f>
        <v>0</v>
      </c>
      <c r="R6" s="45"/>
      <c r="S6" s="103">
        <f>IF(L6&lt;&gt;1,(S5+R6)/L6,R6+S5)</f>
        <v>0</v>
      </c>
      <c r="T6" s="104"/>
      <c r="U6" s="46">
        <f t="shared" si="1"/>
        <v>0</v>
      </c>
      <c r="V6" s="47"/>
      <c r="W6" s="103">
        <f>IF(L6&lt;&gt;1,(W5+V6)/L6,V6+W5)</f>
        <v>0</v>
      </c>
      <c r="X6" s="111">
        <f>K6*M6</f>
        <v>0.20549777978408473</v>
      </c>
      <c r="Y6" s="46">
        <f t="shared" si="2"/>
        <v>0.20549777978408473</v>
      </c>
      <c r="Z6" s="1"/>
      <c r="AA6" s="1"/>
    </row>
    <row r="7" spans="1:27">
      <c r="A7" s="27">
        <v>3</v>
      </c>
      <c r="B7" s="28" t="s">
        <v>21</v>
      </c>
      <c r="C7" s="124">
        <f>P2</f>
        <v>1650</v>
      </c>
      <c r="D7" s="41" t="s">
        <v>20</v>
      </c>
      <c r="E7" s="42">
        <v>400</v>
      </c>
      <c r="F7" s="32"/>
      <c r="G7" s="33" t="s">
        <v>5</v>
      </c>
      <c r="H7" s="32">
        <f>C3</f>
        <v>3</v>
      </c>
      <c r="I7" s="34">
        <v>1</v>
      </c>
      <c r="J7" s="28">
        <f>F46</f>
        <v>36</v>
      </c>
      <c r="K7" s="35">
        <f t="shared" si="3"/>
        <v>0.34375</v>
      </c>
      <c r="L7" s="28">
        <v>1</v>
      </c>
      <c r="M7" s="65">
        <f>M10/L7</f>
        <v>1.1469643522832638</v>
      </c>
      <c r="N7" s="43"/>
      <c r="O7" s="103">
        <f>IF(L7&lt;&gt;1,(O6+N7)/L7,N7+O6)</f>
        <v>6.4344700163091098</v>
      </c>
      <c r="P7" s="104"/>
      <c r="Q7" s="44">
        <f>IF(L7&lt;&gt;1,(Q6+P7)/L7,P7+Q6)</f>
        <v>0</v>
      </c>
      <c r="R7" s="45"/>
      <c r="S7" s="103">
        <f>IF(L7&lt;&gt;1,(S6+R7)/L7,R7+S6)</f>
        <v>0</v>
      </c>
      <c r="T7" s="104"/>
      <c r="U7" s="46">
        <f>IF(L7&lt;&gt;1,(U6+T7)/L7,T7+U6)</f>
        <v>0</v>
      </c>
      <c r="V7" s="47">
        <f>K7*M7</f>
        <v>0.39426899609737193</v>
      </c>
      <c r="W7" s="103">
        <f>IF(L7&lt;&gt;1,(W6+V7)/L7,V7+W6)</f>
        <v>0.39426899609737193</v>
      </c>
      <c r="X7" s="111"/>
      <c r="Y7" s="46">
        <f>IF(L7&lt;&gt;1,(Y6+X7)/L7,X7+Y6)</f>
        <v>0.20549777978408473</v>
      </c>
      <c r="Z7" s="1"/>
      <c r="AA7" s="1"/>
    </row>
    <row r="8" spans="1:27">
      <c r="A8" s="27"/>
      <c r="B8" s="28" t="s">
        <v>22</v>
      </c>
      <c r="C8" s="123"/>
      <c r="D8" s="41" t="s">
        <v>20</v>
      </c>
      <c r="E8" s="42"/>
      <c r="F8" s="32">
        <f>55/10000*80</f>
        <v>0.43999999999999995</v>
      </c>
      <c r="G8" s="33" t="s">
        <v>5</v>
      </c>
      <c r="H8" s="32">
        <f>C40</f>
        <v>3</v>
      </c>
      <c r="I8" s="34">
        <v>1</v>
      </c>
      <c r="J8" s="28">
        <f>F46</f>
        <v>36</v>
      </c>
      <c r="K8" s="35">
        <f t="shared" si="3"/>
        <v>3.666666666666666E-2</v>
      </c>
      <c r="L8" s="28">
        <v>1</v>
      </c>
      <c r="M8" s="65">
        <f>M10/L8</f>
        <v>1.1469643522832638</v>
      </c>
      <c r="N8" s="43"/>
      <c r="O8" s="103">
        <f>IF(L8&lt;&gt;1,(O6+N8)/L8,N8+O6)</f>
        <v>6.4344700163091098</v>
      </c>
      <c r="P8" s="104"/>
      <c r="Q8" s="44">
        <f>IF(L8&lt;&gt;1,(Q6+P8)/L8,P8+Q6)</f>
        <v>0</v>
      </c>
      <c r="R8" s="45">
        <f>K8*M8</f>
        <v>4.2055359583719663E-2</v>
      </c>
      <c r="S8" s="103">
        <f>IF(L8&lt;&gt;1,(S6+R8)/L8,R8+S6)</f>
        <v>4.2055359583719663E-2</v>
      </c>
      <c r="T8" s="104"/>
      <c r="U8" s="46">
        <f>IF(L8&lt;&gt;1,(U6+T8)/L8,T8+U6)</f>
        <v>0</v>
      </c>
      <c r="V8" s="47"/>
      <c r="W8" s="103">
        <v>0</v>
      </c>
      <c r="X8" s="111"/>
      <c r="Y8" s="46">
        <f>IF(L8&lt;&gt;1,(Y6+X8)/L8,X8+Y6)</f>
        <v>0.20549777978408473</v>
      </c>
      <c r="Z8" s="1"/>
      <c r="AA8" s="1"/>
    </row>
    <row r="9" spans="1:27">
      <c r="A9" s="27">
        <v>4</v>
      </c>
      <c r="B9" s="199" t="s">
        <v>195</v>
      </c>
      <c r="C9" s="195">
        <f>P1/2</f>
        <v>2150</v>
      </c>
      <c r="D9" s="41" t="s">
        <v>20</v>
      </c>
      <c r="E9" s="127">
        <f>E3</f>
        <v>500</v>
      </c>
      <c r="F9" s="32"/>
      <c r="G9" s="33" t="s">
        <v>5</v>
      </c>
      <c r="H9" s="32">
        <v>3</v>
      </c>
      <c r="I9" s="34">
        <v>1</v>
      </c>
      <c r="J9" s="28">
        <f>F46</f>
        <v>36</v>
      </c>
      <c r="K9" s="35">
        <f t="shared" si="3"/>
        <v>0.35833333333333328</v>
      </c>
      <c r="L9" s="28">
        <v>0.99</v>
      </c>
      <c r="M9" s="65">
        <f>M10/L9</f>
        <v>1.1585498507911756</v>
      </c>
      <c r="N9" s="43"/>
      <c r="O9" s="103">
        <f>IF(L9&lt;&gt;1,(O7+N9)/L9,N9+O7)</f>
        <v>6.4994646629384949</v>
      </c>
      <c r="P9" s="104"/>
      <c r="Q9" s="44">
        <f>IF(L9&lt;&gt;1,(Q7+P9)/L9,P9+Q7)</f>
        <v>0</v>
      </c>
      <c r="R9" s="45"/>
      <c r="S9" s="103">
        <f>IF(L9&lt;&gt;1,(S7+R9)/L9,R9+S7)</f>
        <v>0</v>
      </c>
      <c r="T9" s="104"/>
      <c r="U9" s="46">
        <f>IF(L9&lt;&gt;1,(U7+T9)/L9,T9+U7)</f>
        <v>0</v>
      </c>
      <c r="V9" s="47"/>
      <c r="W9" s="103">
        <v>0</v>
      </c>
      <c r="X9" s="111">
        <f>K9*M9</f>
        <v>0.41514702986683782</v>
      </c>
      <c r="Y9" s="46">
        <f>IF(L9&lt;&gt;1,(Y7+X9)/L9,X9+Y7)</f>
        <v>0.62691394914234599</v>
      </c>
      <c r="Z9" s="1"/>
      <c r="AA9" s="1"/>
    </row>
    <row r="10" spans="1:27">
      <c r="A10" s="27">
        <v>5</v>
      </c>
      <c r="B10" s="200" t="s">
        <v>23</v>
      </c>
      <c r="C10" s="124">
        <f>P2</f>
        <v>1650</v>
      </c>
      <c r="D10" s="41" t="s">
        <v>20</v>
      </c>
      <c r="E10" s="42">
        <v>400</v>
      </c>
      <c r="F10" s="32"/>
      <c r="G10" s="33" t="s">
        <v>5</v>
      </c>
      <c r="H10" s="32">
        <v>3</v>
      </c>
      <c r="I10" s="34">
        <v>1</v>
      </c>
      <c r="J10" s="28">
        <f>F46</f>
        <v>36</v>
      </c>
      <c r="K10" s="35">
        <f t="shared" si="3"/>
        <v>0.34375</v>
      </c>
      <c r="L10" s="28">
        <v>1</v>
      </c>
      <c r="M10" s="65">
        <f>M12/L10</f>
        <v>1.1469643522832638</v>
      </c>
      <c r="N10" s="43"/>
      <c r="O10" s="103">
        <f>IF(L10&lt;&gt;1,(O8+N10)/L10,N10+O8)</f>
        <v>6.4344700163091098</v>
      </c>
      <c r="P10" s="104"/>
      <c r="Q10" s="44">
        <f>IF(L10&lt;&gt;1,(Q8+P10)/L10,P10+Q8)</f>
        <v>0</v>
      </c>
      <c r="R10" s="45"/>
      <c r="S10" s="103">
        <f>IF(L10&lt;&gt;1,(S8+R10)/L10,R10+S8)</f>
        <v>4.2055359583719663E-2</v>
      </c>
      <c r="T10" s="104"/>
      <c r="U10" s="46">
        <f>IF(L10&lt;&gt;1,(U8+T10)/L10,T10+U8)</f>
        <v>0</v>
      </c>
      <c r="V10" s="47">
        <f t="shared" ref="V10:V24" si="4">K10*M10</f>
        <v>0.39426899609737193</v>
      </c>
      <c r="W10" s="103">
        <f>IF(L10&lt;&gt;1,(W8+V10)/L10,V10+W8)</f>
        <v>0.39426899609737193</v>
      </c>
      <c r="X10" s="111"/>
      <c r="Y10" s="46">
        <f>IF(L10&lt;&gt;1,(Y8+X10)/L10,X10+Y8)</f>
        <v>0.20549777978408473</v>
      </c>
      <c r="Z10" s="1"/>
      <c r="AA10" s="1"/>
    </row>
    <row r="11" spans="1:27">
      <c r="A11" s="27">
        <v>6</v>
      </c>
      <c r="B11" s="199" t="s">
        <v>196</v>
      </c>
      <c r="C11" s="195">
        <f>P1/2</f>
        <v>2150</v>
      </c>
      <c r="D11" s="41" t="s">
        <v>20</v>
      </c>
      <c r="E11" s="127">
        <f>E3</f>
        <v>500</v>
      </c>
      <c r="F11" s="32"/>
      <c r="G11" s="33" t="s">
        <v>5</v>
      </c>
      <c r="H11" s="32">
        <v>4</v>
      </c>
      <c r="I11" s="34">
        <v>1</v>
      </c>
      <c r="J11" s="28">
        <f>F46</f>
        <v>36</v>
      </c>
      <c r="K11" s="35">
        <f t="shared" si="3"/>
        <v>0.47777777777777775</v>
      </c>
      <c r="L11" s="28">
        <v>1</v>
      </c>
      <c r="M11" s="65">
        <f>M12/L11</f>
        <v>1.1469643522832638</v>
      </c>
      <c r="N11" s="43"/>
      <c r="O11" s="103">
        <f>IF(L11&lt;&gt;1,(O9+N11)/L11,N11+O9)</f>
        <v>6.4994646629384949</v>
      </c>
      <c r="P11" s="104"/>
      <c r="Q11" s="44">
        <f>IF(L11&lt;&gt;1,(Q9+P11)/L11,P11+Q9)</f>
        <v>0</v>
      </c>
      <c r="R11" s="45"/>
      <c r="S11" s="103">
        <f>IF(L11&lt;&gt;1,(S9+R11)/L11,R11+S9)</f>
        <v>0</v>
      </c>
      <c r="T11" s="104"/>
      <c r="U11" s="46">
        <f>IF(L11&lt;&gt;1,(U9+T11)/L11,T11+U9)</f>
        <v>0</v>
      </c>
      <c r="V11" s="47"/>
      <c r="W11" s="103">
        <v>0</v>
      </c>
      <c r="X11" s="111">
        <f>K11*M11</f>
        <v>0.54799407942422595</v>
      </c>
      <c r="Y11" s="46">
        <f>IF(L11&lt;&gt;1,(Y9+X11)/L11,X11+Y9)</f>
        <v>1.1749080285665721</v>
      </c>
      <c r="Z11" s="1"/>
      <c r="AA11" s="1"/>
    </row>
    <row r="12" spans="1:27">
      <c r="A12" s="27">
        <v>7</v>
      </c>
      <c r="B12" s="200" t="s">
        <v>24</v>
      </c>
      <c r="C12" s="124">
        <f>P2</f>
        <v>1650</v>
      </c>
      <c r="D12" s="41" t="s">
        <v>20</v>
      </c>
      <c r="E12" s="42">
        <v>350</v>
      </c>
      <c r="F12" s="32"/>
      <c r="G12" s="33" t="s">
        <v>5</v>
      </c>
      <c r="H12" s="32">
        <v>4</v>
      </c>
      <c r="I12" s="34">
        <v>1</v>
      </c>
      <c r="J12" s="28">
        <f>F46</f>
        <v>36</v>
      </c>
      <c r="K12" s="35">
        <f t="shared" si="3"/>
        <v>0.52380952380952384</v>
      </c>
      <c r="L12" s="28">
        <v>0.99</v>
      </c>
      <c r="M12" s="65">
        <f t="shared" si="0"/>
        <v>1.1469643522832638</v>
      </c>
      <c r="N12" s="43"/>
      <c r="O12" s="103">
        <f>IF(L12&lt;&gt;1,(O10+N12)/L12,N12+O10)</f>
        <v>6.4994646629384949</v>
      </c>
      <c r="P12" s="104"/>
      <c r="Q12" s="44">
        <f>IF(L12&lt;&gt;1,(Q10+P12)/L12,P12+Q10)</f>
        <v>0</v>
      </c>
      <c r="R12" s="45"/>
      <c r="S12" s="103">
        <f>IF(L12&lt;&gt;1,(S10+R12)/L12,R12+S10)</f>
        <v>4.2480161195676429E-2</v>
      </c>
      <c r="T12" s="104"/>
      <c r="U12" s="46">
        <f>IF(L12&lt;&gt;1,(U10+T12)/L12,T12+U10)</f>
        <v>0</v>
      </c>
      <c r="V12" s="47">
        <f t="shared" si="4"/>
        <v>0.60079085119599529</v>
      </c>
      <c r="W12" s="103">
        <f>IF(L12&lt;&gt;1,(W10+V12)/L12,V12+W10)</f>
        <v>1.0051109568619871</v>
      </c>
      <c r="X12" s="111"/>
      <c r="Y12" s="46">
        <f>IF(L12&lt;&gt;1,(Y10+X12)/L12,X12+Y10)</f>
        <v>0.20757351493341891</v>
      </c>
      <c r="Z12" s="1"/>
      <c r="AA12" s="1"/>
    </row>
    <row r="13" spans="1:27">
      <c r="A13" s="27"/>
      <c r="B13" s="28" t="s">
        <v>25</v>
      </c>
      <c r="C13" s="197"/>
      <c r="D13" s="41" t="s">
        <v>20</v>
      </c>
      <c r="E13" s="42"/>
      <c r="F13" s="32">
        <v>4000</v>
      </c>
      <c r="G13" s="33" t="s">
        <v>5</v>
      </c>
      <c r="H13" s="32">
        <v>4</v>
      </c>
      <c r="I13" s="34">
        <v>1</v>
      </c>
      <c r="J13" s="28">
        <f>F46</f>
        <v>36</v>
      </c>
      <c r="K13" s="35">
        <f>F13/E3/J13*H13</f>
        <v>0.88888888888888884</v>
      </c>
      <c r="L13" s="28">
        <v>1</v>
      </c>
      <c r="M13" s="65">
        <f t="shared" si="0"/>
        <v>1.135494708760431</v>
      </c>
      <c r="N13" s="43"/>
      <c r="O13" s="103">
        <f>IF(L13&lt;&gt;1,(O12+N13)/L13,N13+O12)</f>
        <v>6.4994646629384949</v>
      </c>
      <c r="P13" s="104">
        <f>K13*M13</f>
        <v>1.0093286300092719</v>
      </c>
      <c r="Q13" s="44">
        <f>IF(L13&lt;&gt;1,(Q12+P13)/L13,P13+Q12)</f>
        <v>1.0093286300092719</v>
      </c>
      <c r="R13" s="45"/>
      <c r="S13" s="103">
        <f>IF(L13&lt;&gt;1,(S12+R13)/L13,R13+S12)</f>
        <v>4.2480161195676429E-2</v>
      </c>
      <c r="T13" s="104"/>
      <c r="U13" s="46">
        <f t="shared" si="1"/>
        <v>0</v>
      </c>
      <c r="V13" s="47"/>
      <c r="W13" s="103">
        <v>0</v>
      </c>
      <c r="X13" s="111"/>
      <c r="Y13" s="46">
        <f t="shared" si="2"/>
        <v>0.20757351493341891</v>
      </c>
      <c r="Z13" s="1"/>
      <c r="AA13" s="1"/>
    </row>
    <row r="14" spans="1:27">
      <c r="A14" s="27"/>
      <c r="B14" s="28" t="s">
        <v>26</v>
      </c>
      <c r="C14" s="27">
        <v>5800</v>
      </c>
      <c r="D14" s="41" t="s">
        <v>20</v>
      </c>
      <c r="E14" s="42">
        <v>2000</v>
      </c>
      <c r="F14" s="32"/>
      <c r="G14" s="33" t="s">
        <v>5</v>
      </c>
      <c r="H14" s="32">
        <v>4</v>
      </c>
      <c r="I14" s="34">
        <v>1</v>
      </c>
      <c r="J14" s="28">
        <f>F46</f>
        <v>36</v>
      </c>
      <c r="K14" s="35">
        <f>C14/E14*H14/J14</f>
        <v>0.32222222222222219</v>
      </c>
      <c r="L14" s="28">
        <v>1</v>
      </c>
      <c r="M14" s="65">
        <f t="shared" si="0"/>
        <v>1.135494708760431</v>
      </c>
      <c r="N14" s="43">
        <f>K14*M14</f>
        <v>0.36588162837836108</v>
      </c>
      <c r="O14" s="103">
        <f>IF(L14&lt;&gt;1,(O13+N14)/L14,N14+O13)</f>
        <v>6.8653462913168557</v>
      </c>
      <c r="P14" s="104"/>
      <c r="Q14" s="44">
        <f>IF(L14&lt;&gt;1,(Q13+P14)/L14,P14+Q13)</f>
        <v>1.0093286300092719</v>
      </c>
      <c r="R14" s="45"/>
      <c r="S14" s="103">
        <f>IF(L14&lt;&gt;1,(S13+R14)/L14,R14+S13)</f>
        <v>4.2480161195676429E-2</v>
      </c>
      <c r="T14" s="104"/>
      <c r="U14" s="46">
        <f t="shared" si="1"/>
        <v>0</v>
      </c>
      <c r="V14" s="47"/>
      <c r="W14" s="103">
        <f>IF(L14&lt;&gt;1,(W13+V14)/L14,V14+W13)</f>
        <v>0</v>
      </c>
      <c r="X14" s="111"/>
      <c r="Y14" s="46">
        <f t="shared" si="2"/>
        <v>0.20757351493341891</v>
      </c>
      <c r="Z14" s="1"/>
      <c r="AA14" s="1"/>
    </row>
    <row r="15" spans="1:27">
      <c r="A15" s="27">
        <v>8</v>
      </c>
      <c r="B15" s="200" t="s">
        <v>1</v>
      </c>
      <c r="C15" s="124">
        <f>P2</f>
        <v>1650</v>
      </c>
      <c r="D15" s="41" t="s">
        <v>20</v>
      </c>
      <c r="E15" s="42">
        <v>450</v>
      </c>
      <c r="F15" s="32"/>
      <c r="G15" s="33" t="s">
        <v>5</v>
      </c>
      <c r="H15" s="32">
        <v>3</v>
      </c>
      <c r="I15" s="34">
        <v>1</v>
      </c>
      <c r="J15" s="28">
        <f>F46</f>
        <v>36</v>
      </c>
      <c r="K15" s="35">
        <f t="shared" ref="K15:K28" si="5">IF(C15&gt;0,+C15/E15*H15/I15/J15,+F15*H15/I15/J15)</f>
        <v>0.30555555555555558</v>
      </c>
      <c r="L15" s="28">
        <v>1</v>
      </c>
      <c r="M15" s="65">
        <f>M17/L15</f>
        <v>1.135494708760431</v>
      </c>
      <c r="N15" s="43"/>
      <c r="O15" s="103">
        <f>IF(L15&lt;&gt;1,(O14+N15)/L15,N15+O14)</f>
        <v>6.8653462913168557</v>
      </c>
      <c r="P15" s="104"/>
      <c r="Q15" s="44">
        <f>IF(L15&lt;&gt;1,(Q14+P15)/L15,P15+Q14)</f>
        <v>1.0093286300092719</v>
      </c>
      <c r="R15" s="45"/>
      <c r="S15" s="103">
        <f>IF(L15&lt;&gt;1,(S14+R15)/L15,R15+S14)</f>
        <v>4.2480161195676429E-2</v>
      </c>
      <c r="T15" s="104"/>
      <c r="U15" s="46">
        <f t="shared" si="1"/>
        <v>0</v>
      </c>
      <c r="V15" s="47">
        <f t="shared" si="4"/>
        <v>0.34695671656568727</v>
      </c>
      <c r="W15" s="103">
        <f>IF(L15&lt;&gt;1,(W14+V15)/L15,V15+W14)</f>
        <v>0.34695671656568727</v>
      </c>
      <c r="X15" s="111"/>
      <c r="Y15" s="46">
        <f t="shared" si="2"/>
        <v>0.20757351493341891</v>
      </c>
      <c r="Z15" s="1"/>
      <c r="AA15" s="1"/>
    </row>
    <row r="16" spans="1:27">
      <c r="A16" s="27">
        <v>9</v>
      </c>
      <c r="B16" s="199" t="s">
        <v>197</v>
      </c>
      <c r="C16" s="195">
        <f>P1/2</f>
        <v>2150</v>
      </c>
      <c r="D16" s="41" t="s">
        <v>20</v>
      </c>
      <c r="E16" s="127">
        <f>E3</f>
        <v>500</v>
      </c>
      <c r="F16" s="32"/>
      <c r="G16" s="33" t="s">
        <v>5</v>
      </c>
      <c r="H16" s="32">
        <v>2</v>
      </c>
      <c r="I16" s="34">
        <v>1</v>
      </c>
      <c r="J16" s="28">
        <f>F46</f>
        <v>36</v>
      </c>
      <c r="K16" s="35">
        <f>IF(C16&gt;0,+C16/E16*H16/I16/J16,+F16*H16/I16/J16)</f>
        <v>0.23888888888888887</v>
      </c>
      <c r="L16" s="28">
        <v>0.99</v>
      </c>
      <c r="M16" s="65">
        <f>M17/L16</f>
        <v>1.1469643522832638</v>
      </c>
      <c r="N16" s="43"/>
      <c r="O16" s="103">
        <f>IF(L16&lt;&gt;1,(O14+N16)/L16,N16+O14)</f>
        <v>6.9346932235523795</v>
      </c>
      <c r="P16" s="104"/>
      <c r="Q16" s="44">
        <f>IF(L16&lt;&gt;1,(Q14+P16)/L16,P16+Q14)</f>
        <v>1.0195238686962342</v>
      </c>
      <c r="R16" s="45"/>
      <c r="S16" s="103">
        <f>IF(L16&lt;&gt;1,(S14+R16)/L16,R16+S14)</f>
        <v>4.2909253733006497E-2</v>
      </c>
      <c r="T16" s="104"/>
      <c r="U16" s="46">
        <f>IF(L16&lt;&gt;1,(U14+T16)/L16,T16+U14)</f>
        <v>0</v>
      </c>
      <c r="V16" s="47"/>
      <c r="W16" s="103">
        <v>0</v>
      </c>
      <c r="X16" s="111">
        <f>K16*M16</f>
        <v>0.27399703971211298</v>
      </c>
      <c r="Y16" s="46">
        <f>IF(L16&lt;&gt;1,(Y14+X16)/L16,X16+Y14)</f>
        <v>0.48643490368235542</v>
      </c>
      <c r="Z16" s="1"/>
      <c r="AA16" s="1"/>
    </row>
    <row r="17" spans="1:27">
      <c r="A17" s="27">
        <v>10</v>
      </c>
      <c r="B17" s="200" t="s">
        <v>95</v>
      </c>
      <c r="C17" s="124">
        <f>P2</f>
        <v>1650</v>
      </c>
      <c r="D17" s="41" t="s">
        <v>20</v>
      </c>
      <c r="E17" s="42">
        <v>250</v>
      </c>
      <c r="F17" s="32"/>
      <c r="G17" s="33" t="s">
        <v>5</v>
      </c>
      <c r="H17" s="32">
        <v>2</v>
      </c>
      <c r="I17" s="34">
        <v>1</v>
      </c>
      <c r="J17" s="28">
        <f>F46</f>
        <v>36</v>
      </c>
      <c r="K17" s="35">
        <f t="shared" si="5"/>
        <v>0.36666666666666664</v>
      </c>
      <c r="L17" s="28">
        <v>1</v>
      </c>
      <c r="M17" s="65">
        <f>M19/L17</f>
        <v>1.135494708760431</v>
      </c>
      <c r="N17" s="43"/>
      <c r="O17" s="103">
        <f>IF(L17&lt;&gt;1,(O15+N17)/L17,N17+O15)</f>
        <v>6.8653462913168557</v>
      </c>
      <c r="P17" s="104"/>
      <c r="Q17" s="44">
        <f>IF(L17&lt;&gt;1,(Q15+P17)/L17,P17+Q15)</f>
        <v>1.0093286300092719</v>
      </c>
      <c r="R17" s="45"/>
      <c r="S17" s="103">
        <f>IF(L17&lt;&gt;1,(S15+R17)/L17,R17+S15)</f>
        <v>4.2480161195676429E-2</v>
      </c>
      <c r="T17" s="104"/>
      <c r="U17" s="46">
        <f>IF(L17&lt;&gt;1,(U15+T17)/L17,T17+U15)</f>
        <v>0</v>
      </c>
      <c r="V17" s="47">
        <f t="shared" si="4"/>
        <v>0.41634805987882467</v>
      </c>
      <c r="W17" s="103">
        <f>IF(L17&lt;&gt;1,(W15+V17)/L17,V17+W15)</f>
        <v>0.763304776444512</v>
      </c>
      <c r="X17" s="111"/>
      <c r="Y17" s="46">
        <f>IF(L17&lt;&gt;1,(Y15+X17)/L17,X17+Y15)</f>
        <v>0.20757351493341891</v>
      </c>
      <c r="Z17" s="1"/>
      <c r="AA17" s="1"/>
    </row>
    <row r="18" spans="1:27">
      <c r="A18" s="27">
        <v>6</v>
      </c>
      <c r="B18" s="199" t="s">
        <v>360</v>
      </c>
      <c r="C18" s="195">
        <f>P1/2</f>
        <v>2150</v>
      </c>
      <c r="D18" s="41" t="s">
        <v>20</v>
      </c>
      <c r="E18" s="127">
        <f>E3</f>
        <v>500</v>
      </c>
      <c r="F18" s="32"/>
      <c r="G18" s="33" t="s">
        <v>5</v>
      </c>
      <c r="H18" s="32">
        <v>1</v>
      </c>
      <c r="I18" s="34">
        <v>1</v>
      </c>
      <c r="J18" s="28">
        <v>36</v>
      </c>
      <c r="K18" s="35">
        <f t="shared" si="5"/>
        <v>0.11944444444444444</v>
      </c>
      <c r="L18" s="28">
        <v>1</v>
      </c>
      <c r="M18" s="65">
        <f>M19/L18</f>
        <v>1.135494708760431</v>
      </c>
      <c r="N18" s="43"/>
      <c r="O18" s="103">
        <f>IF(L18&lt;&gt;1,(O16+N18)/L18,N18+O16)</f>
        <v>6.9346932235523795</v>
      </c>
      <c r="P18" s="104"/>
      <c r="Q18" s="44">
        <f>IF(L18&lt;&gt;1,(Q16+P18)/L18,P18+Q16)</f>
        <v>1.0195238686962342</v>
      </c>
      <c r="R18" s="45"/>
      <c r="S18" s="103">
        <f>IF(L18&lt;&gt;1,(S16+R18)/L18,R18+S16)</f>
        <v>4.2909253733006497E-2</v>
      </c>
      <c r="T18" s="104"/>
      <c r="U18" s="46">
        <f>IF(L18&lt;&gt;1,(U16+T18)/L18,T18+U16)</f>
        <v>0</v>
      </c>
      <c r="V18" s="47"/>
      <c r="W18" s="103">
        <v>0</v>
      </c>
      <c r="X18" s="111">
        <f>K18*M18</f>
        <v>0.13562853465749591</v>
      </c>
      <c r="Y18" s="46">
        <f>IF(L18&lt;&gt;1,(Y16+X18)/L18,X18+Y16)</f>
        <v>0.62206343833985134</v>
      </c>
      <c r="Z18" s="1"/>
      <c r="AA18" s="1"/>
    </row>
    <row r="19" spans="1:27">
      <c r="A19" s="27">
        <v>11</v>
      </c>
      <c r="B19" s="200" t="s">
        <v>27</v>
      </c>
      <c r="C19" s="124">
        <f>P2</f>
        <v>1650</v>
      </c>
      <c r="D19" s="41" t="s">
        <v>20</v>
      </c>
      <c r="E19" s="42">
        <v>500</v>
      </c>
      <c r="F19" s="32"/>
      <c r="G19" s="33" t="s">
        <v>5</v>
      </c>
      <c r="H19" s="32">
        <v>1</v>
      </c>
      <c r="I19" s="34">
        <v>1</v>
      </c>
      <c r="J19" s="28">
        <f>F46</f>
        <v>36</v>
      </c>
      <c r="K19" s="35">
        <f t="shared" si="5"/>
        <v>9.166666666666666E-2</v>
      </c>
      <c r="L19" s="28">
        <v>1</v>
      </c>
      <c r="M19" s="65">
        <f t="shared" si="0"/>
        <v>1.135494708760431</v>
      </c>
      <c r="N19" s="43"/>
      <c r="O19" s="103">
        <f>IF(L19&lt;&gt;1,(O17+N19)/L19,N19+O17)</f>
        <v>6.8653462913168557</v>
      </c>
      <c r="P19" s="104"/>
      <c r="Q19" s="44">
        <f>IF(L19&lt;&gt;1,(Q17+P19)/L19,P19+Q17)</f>
        <v>1.0093286300092719</v>
      </c>
      <c r="R19" s="45"/>
      <c r="S19" s="103">
        <f>IF(L19&lt;&gt;1,(S17+R19)/L19,R19+S17)</f>
        <v>4.2480161195676429E-2</v>
      </c>
      <c r="T19" s="104"/>
      <c r="U19" s="46">
        <f>IF(L19&lt;&gt;1,(U17+T19)/L19,T19+U17)</f>
        <v>0</v>
      </c>
      <c r="V19" s="47">
        <f t="shared" si="4"/>
        <v>0.10408701496970617</v>
      </c>
      <c r="W19" s="103">
        <f>IF(L19&lt;&gt;1,(W17+V19)/L19,V19+W17)</f>
        <v>0.86739179141421818</v>
      </c>
      <c r="X19" s="111"/>
      <c r="Y19" s="46">
        <f>IF(L19&lt;&gt;1,(Y17+X19)/L19,X19+Y17)</f>
        <v>0.20757351493341891</v>
      </c>
      <c r="Z19" s="1"/>
      <c r="AA19" s="1"/>
    </row>
    <row r="20" spans="1:27">
      <c r="A20" s="27">
        <v>12</v>
      </c>
      <c r="B20" s="200" t="s">
        <v>28</v>
      </c>
      <c r="C20" s="124">
        <f>P2</f>
        <v>1650</v>
      </c>
      <c r="D20" s="41" t="s">
        <v>20</v>
      </c>
      <c r="E20" s="42">
        <v>100</v>
      </c>
      <c r="F20" s="32"/>
      <c r="G20" s="33" t="s">
        <v>5</v>
      </c>
      <c r="H20" s="32">
        <v>1</v>
      </c>
      <c r="I20" s="34">
        <v>1</v>
      </c>
      <c r="J20" s="28">
        <f>F46</f>
        <v>36</v>
      </c>
      <c r="K20" s="35">
        <f t="shared" si="5"/>
        <v>0.45833333333333331</v>
      </c>
      <c r="L20" s="28">
        <v>1</v>
      </c>
      <c r="M20" s="65">
        <f>M22/L20</f>
        <v>1.135494708760431</v>
      </c>
      <c r="N20" s="43"/>
      <c r="O20" s="103">
        <f>IF(L20&lt;&gt;1,(O19+N20)/L20,N20+O19)</f>
        <v>6.8653462913168557</v>
      </c>
      <c r="P20" s="104"/>
      <c r="Q20" s="44">
        <f>IF(L20&lt;&gt;1,(Q19+P20)/L20,P20+Q19)</f>
        <v>1.0093286300092719</v>
      </c>
      <c r="R20" s="45"/>
      <c r="S20" s="103">
        <f>IF(L20&lt;&gt;1,(S19+R20)/L20,R20+S19)</f>
        <v>4.2480161195676429E-2</v>
      </c>
      <c r="T20" s="104"/>
      <c r="U20" s="46">
        <f t="shared" si="1"/>
        <v>0</v>
      </c>
      <c r="V20" s="47">
        <f t="shared" si="4"/>
        <v>0.52043507484853091</v>
      </c>
      <c r="W20" s="103">
        <f>IF(L20&lt;&gt;1,(W19+V20)/L20,V20+W19)</f>
        <v>1.3878268662627491</v>
      </c>
      <c r="X20" s="111"/>
      <c r="Y20" s="46">
        <f t="shared" si="2"/>
        <v>0.20757351493341891</v>
      </c>
      <c r="Z20" s="1"/>
      <c r="AA20" s="1"/>
    </row>
    <row r="21" spans="1:27">
      <c r="A21" s="27">
        <v>13</v>
      </c>
      <c r="B21" s="199" t="s">
        <v>198</v>
      </c>
      <c r="C21" s="195">
        <f>P1/2</f>
        <v>2150</v>
      </c>
      <c r="D21" s="41" t="s">
        <v>20</v>
      </c>
      <c r="E21" s="127">
        <f>E3</f>
        <v>500</v>
      </c>
      <c r="F21" s="32"/>
      <c r="G21" s="33" t="s">
        <v>5</v>
      </c>
      <c r="H21" s="32">
        <v>4</v>
      </c>
      <c r="I21" s="34">
        <v>1</v>
      </c>
      <c r="J21" s="28">
        <f>F46</f>
        <v>36</v>
      </c>
      <c r="K21" s="35">
        <f>IF(C21&gt;0,+C21/E21*H21/I21/J21,+F21*H21/I21/J21)</f>
        <v>0.47777777777777775</v>
      </c>
      <c r="L21" s="28">
        <v>0.99</v>
      </c>
      <c r="M21" s="65">
        <f>M22/L21</f>
        <v>1.1469643522832638</v>
      </c>
      <c r="N21" s="43"/>
      <c r="O21" s="103">
        <f>IF(L21&lt;&gt;1,(O19+N21)/L21,N21+O19)</f>
        <v>6.9346932235523795</v>
      </c>
      <c r="P21" s="104"/>
      <c r="Q21" s="44">
        <f>IF(L21&lt;&gt;1,(Q19+P21)/L21,P21+Q19)</f>
        <v>1.0195238686962342</v>
      </c>
      <c r="R21" s="45"/>
      <c r="S21" s="103">
        <f>IF(L21&lt;&gt;1,(S19+R21)/L21,R21+S19)</f>
        <v>4.2909253733006497E-2</v>
      </c>
      <c r="T21" s="104"/>
      <c r="U21" s="46">
        <f>IF(L21&lt;&gt;1,(U19+T21)/L21,T21+U19)</f>
        <v>0</v>
      </c>
      <c r="V21" s="47"/>
      <c r="W21" s="103">
        <v>0</v>
      </c>
      <c r="X21" s="111">
        <f>K21*M21</f>
        <v>0.54799407942422595</v>
      </c>
      <c r="Y21" s="46">
        <f>IF(L21&lt;&gt;1,(Y19+X21)/L21,X21+Y19)</f>
        <v>0.76319959026024731</v>
      </c>
      <c r="Z21" s="1"/>
      <c r="AA21" s="1"/>
    </row>
    <row r="22" spans="1:27">
      <c r="A22" s="27">
        <v>14</v>
      </c>
      <c r="B22" s="200" t="s">
        <v>29</v>
      </c>
      <c r="C22" s="124">
        <f>P2</f>
        <v>1650</v>
      </c>
      <c r="D22" s="41" t="s">
        <v>20</v>
      </c>
      <c r="E22" s="42">
        <v>250</v>
      </c>
      <c r="F22" s="32"/>
      <c r="G22" s="33" t="s">
        <v>5</v>
      </c>
      <c r="H22" s="32">
        <v>4</v>
      </c>
      <c r="I22" s="34">
        <v>1</v>
      </c>
      <c r="J22" s="28">
        <f>F46</f>
        <v>36</v>
      </c>
      <c r="K22" s="35">
        <f t="shared" si="5"/>
        <v>0.73333333333333328</v>
      </c>
      <c r="L22" s="28">
        <v>1</v>
      </c>
      <c r="M22" s="65">
        <f t="shared" si="0"/>
        <v>1.135494708760431</v>
      </c>
      <c r="N22" s="43"/>
      <c r="O22" s="103">
        <f>IF(L22&lt;&gt;1,(O20+N22)/L22,N22+O20)</f>
        <v>6.8653462913168557</v>
      </c>
      <c r="P22" s="104"/>
      <c r="Q22" s="44">
        <f>IF(L22&lt;&gt;1,(Q20+P22)/L22,P22+Q20)</f>
        <v>1.0093286300092719</v>
      </c>
      <c r="R22" s="45"/>
      <c r="S22" s="103">
        <f>IF(L22&lt;&gt;1,(S20+R22)/L22,R22+S20)</f>
        <v>4.2480161195676429E-2</v>
      </c>
      <c r="T22" s="104"/>
      <c r="U22" s="46">
        <f>IF(L22&lt;&gt;1,(U20+T22)/L22,T22+U20)</f>
        <v>0</v>
      </c>
      <c r="V22" s="47">
        <f t="shared" si="4"/>
        <v>0.83269611975764934</v>
      </c>
      <c r="W22" s="103">
        <f>IF(L22&lt;&gt;1,(W20+V22)/L22,V22+W20)</f>
        <v>2.2205229860203985</v>
      </c>
      <c r="X22" s="111"/>
      <c r="Y22" s="46">
        <f>IF(L22&lt;&gt;1,(Y20+X22)/L22,X22+Y20)</f>
        <v>0.20757351493341891</v>
      </c>
      <c r="Z22" s="1"/>
      <c r="AA22" s="1"/>
    </row>
    <row r="23" spans="1:27">
      <c r="A23" s="27">
        <v>15</v>
      </c>
      <c r="B23" s="28" t="s">
        <v>30</v>
      </c>
      <c r="C23" s="27"/>
      <c r="D23" s="41" t="s">
        <v>359</v>
      </c>
      <c r="E23" s="42"/>
      <c r="F23" s="32">
        <v>5.7</v>
      </c>
      <c r="G23" s="33" t="s">
        <v>5</v>
      </c>
      <c r="H23" s="32">
        <f>C40</f>
        <v>3</v>
      </c>
      <c r="I23" s="34">
        <v>1</v>
      </c>
      <c r="J23" s="28">
        <f>F46</f>
        <v>36</v>
      </c>
      <c r="K23" s="35">
        <f>IF(C23&gt;0,+C23/E23*H23/I23/J23,+F23*H23/I23/J23)</f>
        <v>0.47500000000000003</v>
      </c>
      <c r="L23" s="28">
        <v>1</v>
      </c>
      <c r="M23" s="65">
        <f t="shared" si="0"/>
        <v>1.135494708760431</v>
      </c>
      <c r="N23" s="43"/>
      <c r="O23" s="103">
        <f>IF(L23&lt;&gt;1,(O22+N23)/L23,N23+O22)</f>
        <v>6.8653462913168557</v>
      </c>
      <c r="P23" s="104"/>
      <c r="Q23" s="44">
        <f>IF(L23&lt;&gt;1,(Q22+P23)/L23,P23+Q22)</f>
        <v>1.0093286300092719</v>
      </c>
      <c r="R23" s="45"/>
      <c r="S23" s="103">
        <f>IF(L23&lt;&gt;1,(S22+R23)/L23,R23+S22)</f>
        <v>4.2480161195676429E-2</v>
      </c>
      <c r="T23" s="104">
        <f>K23*M23</f>
        <v>0.53935998666120477</v>
      </c>
      <c r="U23" s="46">
        <f t="shared" si="1"/>
        <v>0.53935998666120477</v>
      </c>
      <c r="V23" s="47"/>
      <c r="W23" s="103">
        <v>0</v>
      </c>
      <c r="X23" s="111"/>
      <c r="Y23" s="46">
        <f t="shared" si="2"/>
        <v>0.20757351493341891</v>
      </c>
      <c r="Z23" s="1"/>
      <c r="AA23" s="1"/>
    </row>
    <row r="24" spans="1:27" ht="13.5" thickBot="1">
      <c r="A24" s="49">
        <v>16</v>
      </c>
      <c r="B24" s="201" t="s">
        <v>31</v>
      </c>
      <c r="C24" s="196">
        <f>P2</f>
        <v>1650</v>
      </c>
      <c r="D24" s="51" t="s">
        <v>20</v>
      </c>
      <c r="E24" s="52">
        <v>200</v>
      </c>
      <c r="F24" s="53"/>
      <c r="G24" s="54" t="s">
        <v>5</v>
      </c>
      <c r="H24" s="53">
        <v>1</v>
      </c>
      <c r="I24" s="55">
        <v>1</v>
      </c>
      <c r="J24" s="50">
        <f>F46</f>
        <v>36</v>
      </c>
      <c r="K24" s="56">
        <f t="shared" si="5"/>
        <v>0.22916666666666666</v>
      </c>
      <c r="L24" s="50">
        <v>0.97</v>
      </c>
      <c r="M24" s="100">
        <f t="shared" si="0"/>
        <v>1.135494708760431</v>
      </c>
      <c r="N24" s="57"/>
      <c r="O24" s="105">
        <f>IF(L24&lt;&gt;1,(O22+N24)/L24,N24+O22)</f>
        <v>7.0776765889864492</v>
      </c>
      <c r="P24" s="106"/>
      <c r="Q24" s="58">
        <f>IF(L24&lt;&gt;1,(Q22+P24)/L24,P24+Q22)</f>
        <v>1.040544979391002</v>
      </c>
      <c r="R24" s="59"/>
      <c r="S24" s="105">
        <f>IF(L24&lt;&gt;1,(S22+R24)/L24,R24+S22)</f>
        <v>4.3793980614099413E-2</v>
      </c>
      <c r="T24" s="106"/>
      <c r="U24" s="60">
        <f t="shared" si="1"/>
        <v>0.55604122336206674</v>
      </c>
      <c r="V24" s="47">
        <f t="shared" si="4"/>
        <v>0.26021753742426545</v>
      </c>
      <c r="W24" s="103">
        <f>IF(L24&lt;&gt;1,(W22+V24)/L24,V24+W22)</f>
        <v>2.5574644571594476</v>
      </c>
      <c r="X24" s="111"/>
      <c r="Y24" s="46">
        <f t="shared" si="2"/>
        <v>0.2139933143643494</v>
      </c>
      <c r="Z24" s="1"/>
      <c r="AA24" s="1"/>
    </row>
    <row r="25" spans="1:27">
      <c r="A25" s="27">
        <v>17</v>
      </c>
      <c r="B25" s="28" t="s">
        <v>32</v>
      </c>
      <c r="C25" s="27">
        <v>747</v>
      </c>
      <c r="D25" s="41" t="s">
        <v>20</v>
      </c>
      <c r="E25" s="42">
        <v>64</v>
      </c>
      <c r="F25" s="32"/>
      <c r="G25" s="33" t="s">
        <v>5</v>
      </c>
      <c r="H25" s="32">
        <v>1</v>
      </c>
      <c r="I25" s="34">
        <v>1</v>
      </c>
      <c r="J25" s="28">
        <v>1</v>
      </c>
      <c r="K25" s="62">
        <f t="shared" si="5"/>
        <v>11.671875</v>
      </c>
      <c r="L25" s="63">
        <v>1</v>
      </c>
      <c r="M25" s="8">
        <f t="shared" si="0"/>
        <v>1.101429867497618</v>
      </c>
      <c r="N25" s="36">
        <f>K25*M25</f>
        <v>12.85575173469876</v>
      </c>
      <c r="O25" s="107">
        <f t="shared" ref="O25:O38" si="6">IF(L25&lt;&gt;1,(O24+N25)/L25,N25+O24)</f>
        <v>19.933428323685209</v>
      </c>
      <c r="P25" s="102"/>
      <c r="Q25" s="64">
        <f t="shared" ref="Q25:Q38" si="7">IF(L25&lt;&gt;1,(Q24+P25)/L25,P25+Q24)</f>
        <v>1.040544979391002</v>
      </c>
      <c r="R25" s="38"/>
      <c r="S25" s="107">
        <f t="shared" ref="S25:S38" si="8">IF(L25&lt;&gt;1,(S24+R25)/L25,R25+S24)</f>
        <v>4.3793980614099413E-2</v>
      </c>
      <c r="T25" s="102"/>
      <c r="U25" s="64">
        <f t="shared" si="1"/>
        <v>0.55604122336206674</v>
      </c>
      <c r="V25" s="40"/>
      <c r="W25" s="107">
        <f t="shared" ref="W25:W38" si="9">IF(L25&lt;&gt;1,(W24+V25)/L25,V25+W24)</f>
        <v>2.5574644571594476</v>
      </c>
      <c r="X25" s="110"/>
      <c r="Y25" s="39">
        <f t="shared" si="2"/>
        <v>0.2139933143643494</v>
      </c>
      <c r="Z25" s="1"/>
      <c r="AA25" s="1"/>
    </row>
    <row r="26" spans="1:27">
      <c r="A26" s="27">
        <v>18</v>
      </c>
      <c r="B26" s="28" t="s">
        <v>33</v>
      </c>
      <c r="C26" s="27">
        <v>1</v>
      </c>
      <c r="D26" s="41" t="s">
        <v>20</v>
      </c>
      <c r="E26" s="42">
        <v>1</v>
      </c>
      <c r="F26" s="32">
        <v>1</v>
      </c>
      <c r="G26" s="33" t="s">
        <v>5</v>
      </c>
      <c r="H26" s="32">
        <v>1</v>
      </c>
      <c r="I26" s="34">
        <v>1</v>
      </c>
      <c r="J26" s="28">
        <v>1</v>
      </c>
      <c r="K26" s="35">
        <f t="shared" si="5"/>
        <v>1</v>
      </c>
      <c r="L26" s="28">
        <v>1</v>
      </c>
      <c r="M26" s="8">
        <f t="shared" si="0"/>
        <v>1.101429867497618</v>
      </c>
      <c r="N26" s="43"/>
      <c r="O26" s="108">
        <f t="shared" si="6"/>
        <v>19.933428323685209</v>
      </c>
      <c r="P26" s="104"/>
      <c r="Q26" s="65">
        <f t="shared" si="7"/>
        <v>1.040544979391002</v>
      </c>
      <c r="R26" s="45"/>
      <c r="S26" s="108">
        <f t="shared" si="8"/>
        <v>4.3793980614099413E-2</v>
      </c>
      <c r="T26" s="104">
        <f>K26*M26</f>
        <v>1.101429867497618</v>
      </c>
      <c r="U26" s="65">
        <f t="shared" si="1"/>
        <v>1.6574710908596848</v>
      </c>
      <c r="V26" s="47"/>
      <c r="W26" s="108">
        <f t="shared" si="9"/>
        <v>2.5574644571594476</v>
      </c>
      <c r="X26" s="111"/>
      <c r="Y26" s="46">
        <f t="shared" si="2"/>
        <v>0.2139933143643494</v>
      </c>
      <c r="Z26" s="1"/>
      <c r="AA26" s="1"/>
    </row>
    <row r="27" spans="1:27">
      <c r="A27" s="27">
        <v>19</v>
      </c>
      <c r="B27" s="28" t="s">
        <v>34</v>
      </c>
      <c r="C27" s="27">
        <v>1810</v>
      </c>
      <c r="D27" s="41" t="s">
        <v>20</v>
      </c>
      <c r="E27" s="42">
        <v>336</v>
      </c>
      <c r="F27" s="32"/>
      <c r="G27" s="33" t="s">
        <v>5</v>
      </c>
      <c r="H27" s="32">
        <v>1</v>
      </c>
      <c r="I27" s="34">
        <v>1</v>
      </c>
      <c r="J27" s="28">
        <v>1</v>
      </c>
      <c r="K27" s="35">
        <f t="shared" si="5"/>
        <v>5.3869047619047619</v>
      </c>
      <c r="L27" s="28">
        <v>1</v>
      </c>
      <c r="M27" s="8">
        <f t="shared" si="0"/>
        <v>1.101429867497618</v>
      </c>
      <c r="N27" s="43">
        <f>K27*M27</f>
        <v>5.9332977981270494</v>
      </c>
      <c r="O27" s="108">
        <f t="shared" si="6"/>
        <v>25.86672612181226</v>
      </c>
      <c r="P27" s="104"/>
      <c r="Q27" s="65">
        <f t="shared" si="7"/>
        <v>1.040544979391002</v>
      </c>
      <c r="R27" s="45"/>
      <c r="S27" s="108">
        <f t="shared" si="8"/>
        <v>4.3793980614099413E-2</v>
      </c>
      <c r="T27" s="104"/>
      <c r="U27" s="65">
        <f t="shared" si="1"/>
        <v>1.6574710908596848</v>
      </c>
      <c r="V27" s="47"/>
      <c r="W27" s="108">
        <f t="shared" si="9"/>
        <v>2.5574644571594476</v>
      </c>
      <c r="X27" s="111"/>
      <c r="Y27" s="46">
        <f t="shared" si="2"/>
        <v>0.2139933143643494</v>
      </c>
      <c r="Z27" s="1"/>
      <c r="AA27" s="1"/>
    </row>
    <row r="28" spans="1:27">
      <c r="A28" s="27">
        <v>20</v>
      </c>
      <c r="B28" s="28" t="s">
        <v>35</v>
      </c>
      <c r="C28" s="27">
        <v>342</v>
      </c>
      <c r="D28" s="41" t="s">
        <v>20</v>
      </c>
      <c r="E28" s="42">
        <v>96</v>
      </c>
      <c r="F28" s="32"/>
      <c r="G28" s="33" t="s">
        <v>5</v>
      </c>
      <c r="H28" s="32">
        <v>1</v>
      </c>
      <c r="I28" s="34">
        <v>1</v>
      </c>
      <c r="J28" s="28">
        <v>1</v>
      </c>
      <c r="K28" s="35">
        <f t="shared" si="5"/>
        <v>3.5625</v>
      </c>
      <c r="L28" s="28">
        <v>1</v>
      </c>
      <c r="M28" s="8">
        <f t="shared" si="0"/>
        <v>1.101429867497618</v>
      </c>
      <c r="N28" s="43">
        <f t="shared" ref="N28:N35" si="10">K28*M28</f>
        <v>3.9238439029602641</v>
      </c>
      <c r="O28" s="108">
        <f t="shared" si="6"/>
        <v>29.790570024772524</v>
      </c>
      <c r="P28" s="104"/>
      <c r="Q28" s="65">
        <f t="shared" si="7"/>
        <v>1.040544979391002</v>
      </c>
      <c r="R28" s="45"/>
      <c r="S28" s="108">
        <f t="shared" si="8"/>
        <v>4.3793980614099413E-2</v>
      </c>
      <c r="T28" s="104"/>
      <c r="U28" s="65">
        <f t="shared" si="1"/>
        <v>1.6574710908596848</v>
      </c>
      <c r="V28" s="47"/>
      <c r="W28" s="108">
        <f t="shared" si="9"/>
        <v>2.5574644571594476</v>
      </c>
      <c r="X28" s="112"/>
      <c r="Y28" s="46">
        <f t="shared" si="2"/>
        <v>0.2139933143643494</v>
      </c>
      <c r="Z28" s="1"/>
      <c r="AA28" s="1"/>
    </row>
    <row r="29" spans="1:27">
      <c r="A29" s="27">
        <v>21</v>
      </c>
      <c r="B29" s="28" t="s">
        <v>36</v>
      </c>
      <c r="C29" s="27"/>
      <c r="D29" s="41" t="s">
        <v>20</v>
      </c>
      <c r="E29" s="42"/>
      <c r="F29" s="32">
        <v>0.95</v>
      </c>
      <c r="G29" s="33" t="s">
        <v>5</v>
      </c>
      <c r="H29" s="32">
        <v>1</v>
      </c>
      <c r="I29" s="34">
        <v>1</v>
      </c>
      <c r="J29" s="28">
        <v>1</v>
      </c>
      <c r="K29" s="35">
        <v>0.95</v>
      </c>
      <c r="L29" s="28">
        <v>0.99</v>
      </c>
      <c r="M29" s="8">
        <f t="shared" si="0"/>
        <v>1.101429867497618</v>
      </c>
      <c r="N29" s="43"/>
      <c r="O29" s="108">
        <f t="shared" si="6"/>
        <v>30.0914848735076</v>
      </c>
      <c r="P29" s="104"/>
      <c r="Q29" s="65">
        <f t="shared" si="7"/>
        <v>1.0510555347383859</v>
      </c>
      <c r="R29" s="45"/>
      <c r="S29" s="108">
        <f t="shared" si="8"/>
        <v>4.4236344054645875E-2</v>
      </c>
      <c r="T29" s="104">
        <f>K29*M29</f>
        <v>1.0463583741227369</v>
      </c>
      <c r="U29" s="65">
        <f t="shared" si="1"/>
        <v>2.7311408737196179</v>
      </c>
      <c r="V29" s="66"/>
      <c r="W29" s="108">
        <f t="shared" si="9"/>
        <v>2.5832974314741897</v>
      </c>
      <c r="X29" s="111"/>
      <c r="Y29" s="46">
        <f t="shared" si="2"/>
        <v>0.21615486299429232</v>
      </c>
      <c r="Z29" s="1"/>
      <c r="AA29" s="1"/>
    </row>
    <row r="30" spans="1:27">
      <c r="A30" s="27">
        <v>22</v>
      </c>
      <c r="B30" s="200" t="s">
        <v>37</v>
      </c>
      <c r="C30" s="124">
        <f>P2</f>
        <v>1650</v>
      </c>
      <c r="D30" s="41" t="s">
        <v>20</v>
      </c>
      <c r="E30" s="42">
        <v>800</v>
      </c>
      <c r="F30" s="32" t="s">
        <v>38</v>
      </c>
      <c r="G30" s="33" t="s">
        <v>5</v>
      </c>
      <c r="H30" s="32">
        <v>1</v>
      </c>
      <c r="I30" s="34">
        <v>1</v>
      </c>
      <c r="J30" s="28">
        <v>1</v>
      </c>
      <c r="K30" s="47">
        <f t="shared" ref="K30:K38" si="11">IF(C30&gt;0,+C30/E30*H30/I30/J30,+F30*H30/I30/J30)</f>
        <v>2.0625</v>
      </c>
      <c r="L30" s="28">
        <v>0.98</v>
      </c>
      <c r="M30" s="8">
        <f t="shared" si="0"/>
        <v>1.0904155688226418</v>
      </c>
      <c r="N30" s="43"/>
      <c r="O30" s="108">
        <f t="shared" si="6"/>
        <v>30.705596809701632</v>
      </c>
      <c r="P30" s="104"/>
      <c r="Q30" s="65">
        <f t="shared" si="7"/>
        <v>1.0725056476922306</v>
      </c>
      <c r="R30" s="45"/>
      <c r="S30" s="108">
        <f t="shared" si="8"/>
        <v>4.513912658637334E-2</v>
      </c>
      <c r="T30" s="104"/>
      <c r="U30" s="65">
        <f t="shared" si="1"/>
        <v>2.7868784425710387</v>
      </c>
      <c r="V30" s="67">
        <f>K30</f>
        <v>2.0625</v>
      </c>
      <c r="W30" s="108">
        <f t="shared" si="9"/>
        <v>4.7406096239532545</v>
      </c>
      <c r="X30" s="111"/>
      <c r="Y30" s="46">
        <f t="shared" si="2"/>
        <v>0.22056618672886971</v>
      </c>
      <c r="Z30" s="1"/>
      <c r="AA30" s="1"/>
    </row>
    <row r="31" spans="1:27">
      <c r="A31" s="27">
        <v>23</v>
      </c>
      <c r="B31" s="28" t="s">
        <v>203</v>
      </c>
      <c r="C31" s="27">
        <v>3500</v>
      </c>
      <c r="D31" s="41" t="s">
        <v>20</v>
      </c>
      <c r="E31" s="42">
        <v>336</v>
      </c>
      <c r="F31" s="32"/>
      <c r="G31" s="33" t="s">
        <v>5</v>
      </c>
      <c r="H31" s="32">
        <v>1</v>
      </c>
      <c r="I31" s="34">
        <v>1</v>
      </c>
      <c r="J31" s="28">
        <v>1</v>
      </c>
      <c r="K31" s="35">
        <f t="shared" si="11"/>
        <v>10.416666666666666</v>
      </c>
      <c r="L31" s="28">
        <v>1</v>
      </c>
      <c r="M31" s="8">
        <f t="shared" si="0"/>
        <v>1.0686072574461889</v>
      </c>
      <c r="N31" s="43">
        <f t="shared" si="10"/>
        <v>11.131325598397801</v>
      </c>
      <c r="O31" s="108">
        <f t="shared" si="6"/>
        <v>41.836922408099433</v>
      </c>
      <c r="P31" s="104"/>
      <c r="Q31" s="65">
        <f t="shared" si="7"/>
        <v>1.0725056476922306</v>
      </c>
      <c r="R31" s="45"/>
      <c r="S31" s="108">
        <f t="shared" si="8"/>
        <v>4.513912658637334E-2</v>
      </c>
      <c r="T31" s="104"/>
      <c r="U31" s="65">
        <f t="shared" si="1"/>
        <v>2.7868784425710387</v>
      </c>
      <c r="V31" s="47"/>
      <c r="W31" s="108">
        <f t="shared" si="9"/>
        <v>4.7406096239532545</v>
      </c>
      <c r="X31" s="111"/>
      <c r="Y31" s="46">
        <f t="shared" si="2"/>
        <v>0.22056618672886971</v>
      </c>
      <c r="Z31" s="1"/>
      <c r="AA31" s="1"/>
    </row>
    <row r="32" spans="1:27">
      <c r="A32" s="27">
        <v>24</v>
      </c>
      <c r="B32" s="28" t="s">
        <v>39</v>
      </c>
      <c r="C32" s="131">
        <v>1.7</v>
      </c>
      <c r="D32" s="41" t="s">
        <v>20</v>
      </c>
      <c r="E32" s="126">
        <v>0.3</v>
      </c>
      <c r="F32" s="119">
        <f>C32*0.0001*E32*19.3*13420*1.62</f>
        <v>21.399075720000003</v>
      </c>
      <c r="G32" s="33" t="s">
        <v>5</v>
      </c>
      <c r="H32" s="32">
        <v>1</v>
      </c>
      <c r="I32" s="34">
        <v>1</v>
      </c>
      <c r="J32" s="28">
        <v>1</v>
      </c>
      <c r="K32" s="35">
        <f>F32</f>
        <v>21.399075720000003</v>
      </c>
      <c r="L32" s="28">
        <v>0.99</v>
      </c>
      <c r="M32" s="8">
        <f t="shared" si="0"/>
        <v>1.0686072574461889</v>
      </c>
      <c r="N32" s="43">
        <f t="shared" si="10"/>
        <v>22.867207617032534</v>
      </c>
      <c r="O32" s="108">
        <f t="shared" si="6"/>
        <v>65.357707096092909</v>
      </c>
      <c r="P32" s="104"/>
      <c r="Q32" s="65">
        <f t="shared" si="7"/>
        <v>1.0833390380729602</v>
      </c>
      <c r="R32" s="45"/>
      <c r="S32" s="108">
        <f t="shared" si="8"/>
        <v>4.559507735997307E-2</v>
      </c>
      <c r="T32" s="104"/>
      <c r="U32" s="65">
        <f t="shared" si="1"/>
        <v>2.8150287298697361</v>
      </c>
      <c r="V32" s="47"/>
      <c r="W32" s="108">
        <f t="shared" si="9"/>
        <v>4.7884945696497523</v>
      </c>
      <c r="X32" s="111"/>
      <c r="Y32" s="46">
        <f t="shared" si="2"/>
        <v>0.22279412800895931</v>
      </c>
      <c r="Z32" s="1"/>
      <c r="AA32" s="1"/>
    </row>
    <row r="33" spans="1:27">
      <c r="A33" s="27">
        <v>25</v>
      </c>
      <c r="B33" s="200" t="s">
        <v>40</v>
      </c>
      <c r="C33" s="124">
        <f>P2</f>
        <v>1650</v>
      </c>
      <c r="D33" s="41" t="s">
        <v>20</v>
      </c>
      <c r="E33" s="42">
        <v>1600</v>
      </c>
      <c r="F33" s="32"/>
      <c r="G33" s="33" t="s">
        <v>5</v>
      </c>
      <c r="H33" s="32">
        <v>1</v>
      </c>
      <c r="I33" s="202">
        <v>1</v>
      </c>
      <c r="J33" s="28">
        <v>1</v>
      </c>
      <c r="K33" s="35">
        <f t="shared" si="11"/>
        <v>1.03125</v>
      </c>
      <c r="L33" s="28">
        <v>0.995</v>
      </c>
      <c r="M33" s="8">
        <f>M35/L33</f>
        <v>1.0579211848717269</v>
      </c>
      <c r="N33" s="43"/>
      <c r="O33" s="108">
        <f t="shared" si="6"/>
        <v>65.686137785018005</v>
      </c>
      <c r="P33" s="104"/>
      <c r="Q33" s="65">
        <f t="shared" si="7"/>
        <v>1.088782952837146</v>
      </c>
      <c r="R33" s="45"/>
      <c r="S33" s="108">
        <f t="shared" si="8"/>
        <v>4.5824198351731731E-2</v>
      </c>
      <c r="T33" s="104"/>
      <c r="U33" s="65">
        <f t="shared" si="1"/>
        <v>2.8291746028841569</v>
      </c>
      <c r="V33" s="47"/>
      <c r="W33" s="108">
        <f t="shared" si="9"/>
        <v>4.8125573564319115</v>
      </c>
      <c r="X33" s="111">
        <f>K33*M33</f>
        <v>1.0909812218989683</v>
      </c>
      <c r="Y33" s="46">
        <f t="shared" si="2"/>
        <v>1.3203772360883694</v>
      </c>
      <c r="Z33" s="1"/>
      <c r="AA33" s="1"/>
    </row>
    <row r="34" spans="1:27">
      <c r="A34" s="27">
        <v>26</v>
      </c>
      <c r="B34" s="200" t="s">
        <v>202</v>
      </c>
      <c r="C34" s="124">
        <f>P2</f>
        <v>1650</v>
      </c>
      <c r="D34" s="41" t="s">
        <v>20</v>
      </c>
      <c r="E34" s="42">
        <v>2000</v>
      </c>
      <c r="F34" s="32"/>
      <c r="G34" s="33" t="s">
        <v>5</v>
      </c>
      <c r="H34" s="32">
        <v>1</v>
      </c>
      <c r="I34" s="34">
        <v>1</v>
      </c>
      <c r="J34" s="28">
        <v>1</v>
      </c>
      <c r="K34" s="35">
        <f>IF(C34&gt;0,+C34/E34*H34/I34/J34,+F34*H34/I34/J34)</f>
        <v>0.82499999999999996</v>
      </c>
      <c r="L34" s="28">
        <v>1</v>
      </c>
      <c r="M34" s="8">
        <f>M35/L34</f>
        <v>1.0526315789473684</v>
      </c>
      <c r="N34" s="43"/>
      <c r="O34" s="103">
        <f>IF(L34&lt;&gt;1,(O32+N34)/L34,N34+O32)</f>
        <v>65.357707096092909</v>
      </c>
      <c r="P34" s="104"/>
      <c r="Q34" s="65">
        <f>IF(L34&lt;&gt;1,(Q32+P34)/L34,P34+Q32)</f>
        <v>1.0833390380729602</v>
      </c>
      <c r="R34" s="45"/>
      <c r="S34" s="108">
        <f>IF(L34&lt;&gt;1,(S32+R34)/L34,R34+S32)</f>
        <v>4.559507735997307E-2</v>
      </c>
      <c r="T34" s="104"/>
      <c r="U34" s="65">
        <f>IF(L34&lt;&gt;1,(U32+T34)/L34,T34+U32)</f>
        <v>2.8150287298697361</v>
      </c>
      <c r="V34" s="48">
        <f>K34*M34</f>
        <v>0.86842105263157887</v>
      </c>
      <c r="W34" s="108">
        <f>IF(L34&lt;&gt;1,(W32+V34)/L34,V34+W32)</f>
        <v>5.656915622281331</v>
      </c>
      <c r="X34" s="111"/>
      <c r="Y34" s="46">
        <f>IF(L34&lt;&gt;1,(Y32+X34)/L34,X34+Y32)</f>
        <v>0.22279412800895931</v>
      </c>
      <c r="Z34" s="1"/>
      <c r="AA34" s="1"/>
    </row>
    <row r="35" spans="1:27">
      <c r="A35" s="27">
        <v>27</v>
      </c>
      <c r="B35" s="28" t="s">
        <v>41</v>
      </c>
      <c r="C35" s="27"/>
      <c r="D35" s="41" t="s">
        <v>20</v>
      </c>
      <c r="E35" s="42"/>
      <c r="F35" s="32">
        <v>3</v>
      </c>
      <c r="G35" s="33" t="s">
        <v>5</v>
      </c>
      <c r="H35" s="32">
        <v>1</v>
      </c>
      <c r="I35" s="34">
        <v>1</v>
      </c>
      <c r="J35" s="28">
        <v>1</v>
      </c>
      <c r="K35" s="35">
        <f t="shared" si="11"/>
        <v>3</v>
      </c>
      <c r="L35" s="28">
        <v>1</v>
      </c>
      <c r="M35" s="8">
        <f t="shared" si="0"/>
        <v>1.0526315789473684</v>
      </c>
      <c r="N35" s="43">
        <f t="shared" si="10"/>
        <v>3.1578947368421053</v>
      </c>
      <c r="O35" s="103">
        <f>IF(L35&lt;&gt;1,(O33+N35)/L35,N35+O33)</f>
        <v>68.844032521860115</v>
      </c>
      <c r="P35" s="104"/>
      <c r="Q35" s="65">
        <f>IF(L35&lt;&gt;1,(Q33+P35)/L35,P35+Q33)</f>
        <v>1.088782952837146</v>
      </c>
      <c r="R35" s="45"/>
      <c r="S35" s="108">
        <f>IF(L35&lt;&gt;1,(S33+R35)/L35,R35+S33)</f>
        <v>4.5824198351731731E-2</v>
      </c>
      <c r="T35" s="104"/>
      <c r="U35" s="65">
        <f>IF(L35&lt;&gt;1,(U33+T35)/L35,T35+U33)</f>
        <v>2.8291746028841569</v>
      </c>
      <c r="V35" s="47"/>
      <c r="W35" s="108">
        <f>IF(L35&lt;&gt;1,(W33+V35)/L35,V35+W33)</f>
        <v>4.8125573564319115</v>
      </c>
      <c r="X35" s="111"/>
      <c r="Y35" s="46">
        <f>IF(L35&lt;&gt;1,(Y33+X35)/L35,X35+Y33)</f>
        <v>1.3203772360883694</v>
      </c>
      <c r="Z35" s="1"/>
      <c r="AA35" s="1"/>
    </row>
    <row r="36" spans="1:27">
      <c r="A36" s="27">
        <v>28</v>
      </c>
      <c r="B36" s="200" t="s">
        <v>42</v>
      </c>
      <c r="C36" s="124">
        <f>P2</f>
        <v>1650</v>
      </c>
      <c r="D36" s="41" t="s">
        <v>20</v>
      </c>
      <c r="E36" s="42">
        <v>1000</v>
      </c>
      <c r="F36" s="32"/>
      <c r="G36" s="33" t="s">
        <v>5</v>
      </c>
      <c r="H36" s="32">
        <v>1</v>
      </c>
      <c r="I36" s="34">
        <v>1</v>
      </c>
      <c r="J36" s="28">
        <v>1</v>
      </c>
      <c r="K36" s="35">
        <f t="shared" si="11"/>
        <v>1.65</v>
      </c>
      <c r="L36" s="28">
        <v>0.95</v>
      </c>
      <c r="M36" s="8">
        <f t="shared" si="0"/>
        <v>1.0526315789473684</v>
      </c>
      <c r="N36" s="43"/>
      <c r="O36" s="108">
        <f t="shared" si="6"/>
        <v>72.467402654589591</v>
      </c>
      <c r="P36" s="104"/>
      <c r="Q36" s="65">
        <f t="shared" si="7"/>
        <v>1.1460873187759433</v>
      </c>
      <c r="R36" s="45"/>
      <c r="S36" s="108">
        <f t="shared" si="8"/>
        <v>4.8235998264980769E-2</v>
      </c>
      <c r="T36" s="104"/>
      <c r="U36" s="65">
        <f t="shared" si="1"/>
        <v>2.9780785293517442</v>
      </c>
      <c r="V36" s="48">
        <f>K36*M36</f>
        <v>1.7368421052631577</v>
      </c>
      <c r="W36" s="108">
        <f t="shared" si="9"/>
        <v>6.8941046965211257</v>
      </c>
      <c r="X36" s="111"/>
      <c r="Y36" s="46">
        <f t="shared" si="2"/>
        <v>1.3898707748298627</v>
      </c>
      <c r="Z36" s="1"/>
      <c r="AA36" s="1"/>
    </row>
    <row r="37" spans="1:27">
      <c r="A37" s="27">
        <v>29</v>
      </c>
      <c r="B37" s="199" t="s">
        <v>43</v>
      </c>
      <c r="C37" s="123">
        <f>P1</f>
        <v>4300</v>
      </c>
      <c r="D37" s="41" t="s">
        <v>20</v>
      </c>
      <c r="E37" s="42">
        <v>20000</v>
      </c>
      <c r="F37" s="32"/>
      <c r="G37" s="33" t="s">
        <v>5</v>
      </c>
      <c r="H37" s="32">
        <v>1</v>
      </c>
      <c r="I37" s="34">
        <v>1</v>
      </c>
      <c r="J37" s="28">
        <v>1</v>
      </c>
      <c r="K37" s="35">
        <f t="shared" si="11"/>
        <v>0.215</v>
      </c>
      <c r="L37" s="28">
        <v>1</v>
      </c>
      <c r="M37" s="65">
        <f>M38/L37</f>
        <v>1</v>
      </c>
      <c r="N37" s="43"/>
      <c r="O37" s="108">
        <f t="shared" si="6"/>
        <v>72.467402654589591</v>
      </c>
      <c r="P37" s="104"/>
      <c r="Q37" s="65">
        <f t="shared" si="7"/>
        <v>1.1460873187759433</v>
      </c>
      <c r="R37" s="45"/>
      <c r="S37" s="108">
        <f t="shared" si="8"/>
        <v>4.8235998264980769E-2</v>
      </c>
      <c r="T37" s="104"/>
      <c r="U37" s="65">
        <f t="shared" si="1"/>
        <v>2.9780785293517442</v>
      </c>
      <c r="V37" s="47"/>
      <c r="W37" s="108">
        <f t="shared" si="9"/>
        <v>6.8941046965211257</v>
      </c>
      <c r="X37" s="111">
        <f>K37*M37</f>
        <v>0.215</v>
      </c>
      <c r="Y37" s="46">
        <f t="shared" si="2"/>
        <v>1.6048707748298627</v>
      </c>
      <c r="Z37" s="1"/>
      <c r="AA37" s="1"/>
    </row>
    <row r="38" spans="1:27" ht="13.5" thickBot="1">
      <c r="A38" s="49">
        <v>30</v>
      </c>
      <c r="B38" s="50" t="s">
        <v>199</v>
      </c>
      <c r="C38" s="49">
        <v>120</v>
      </c>
      <c r="D38" s="51" t="s">
        <v>20</v>
      </c>
      <c r="E38" s="52">
        <v>60</v>
      </c>
      <c r="F38" s="53"/>
      <c r="G38" s="54" t="s">
        <v>5</v>
      </c>
      <c r="H38" s="53">
        <v>1</v>
      </c>
      <c r="I38" s="55">
        <v>1</v>
      </c>
      <c r="J38" s="50">
        <v>1</v>
      </c>
      <c r="K38" s="56">
        <f t="shared" si="11"/>
        <v>2</v>
      </c>
      <c r="L38" s="50">
        <v>1</v>
      </c>
      <c r="M38" s="100">
        <f>L38/L37</f>
        <v>1</v>
      </c>
      <c r="N38" s="57"/>
      <c r="O38" s="109">
        <f t="shared" si="6"/>
        <v>72.467402654589591</v>
      </c>
      <c r="P38" s="106"/>
      <c r="Q38" s="68">
        <f t="shared" si="7"/>
        <v>1.1460873187759433</v>
      </c>
      <c r="R38" s="59">
        <f>K38*M38</f>
        <v>2</v>
      </c>
      <c r="S38" s="105">
        <f t="shared" si="8"/>
        <v>2.0482359982649809</v>
      </c>
      <c r="T38" s="106"/>
      <c r="U38" s="68">
        <f t="shared" si="1"/>
        <v>2.9780785293517442</v>
      </c>
      <c r="V38" s="61"/>
      <c r="W38" s="105">
        <f t="shared" si="9"/>
        <v>6.8941046965211257</v>
      </c>
      <c r="X38" s="113"/>
      <c r="Y38" s="60">
        <f t="shared" si="2"/>
        <v>1.6048707748298627</v>
      </c>
      <c r="Z38" s="1"/>
      <c r="AA38" s="1"/>
    </row>
    <row r="39" spans="1:27" ht="13.5" thickBot="1">
      <c r="A39" s="8"/>
      <c r="B39" s="8"/>
      <c r="C39" s="8"/>
      <c r="D39" s="8"/>
      <c r="E39" s="10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"/>
      <c r="AA39" s="1"/>
    </row>
    <row r="40" spans="1:27" ht="13.5" thickBot="1">
      <c r="A40" s="8"/>
      <c r="B40" s="69" t="s">
        <v>44</v>
      </c>
      <c r="C40" s="69">
        <f>C3</f>
        <v>3</v>
      </c>
      <c r="D40" s="8"/>
      <c r="E40" s="10"/>
      <c r="F40" s="8"/>
      <c r="G40" s="8"/>
      <c r="H40" s="8"/>
      <c r="I40" s="8"/>
      <c r="J40" s="8"/>
      <c r="K40" s="70" t="s">
        <v>54</v>
      </c>
      <c r="L40" s="71">
        <f>O40+Q40+S40+U40+W40+Y40</f>
        <v>83.716531467934558</v>
      </c>
      <c r="M40" s="8"/>
      <c r="N40" s="11" t="s">
        <v>55</v>
      </c>
      <c r="O40" s="72">
        <f>O38</f>
        <v>72.467402654589591</v>
      </c>
      <c r="P40" s="12"/>
      <c r="Q40" s="72">
        <f>Q38</f>
        <v>1.1460873187759433</v>
      </c>
      <c r="R40" s="12"/>
      <c r="S40" s="72">
        <f>S38</f>
        <v>2.0482359982649809</v>
      </c>
      <c r="T40" s="12"/>
      <c r="U40" s="72">
        <f>U38</f>
        <v>2.9780785293517442</v>
      </c>
      <c r="V40" s="12"/>
      <c r="W40" s="72">
        <f>W38/3600*V3</f>
        <v>3.1597979859055156</v>
      </c>
      <c r="X40" s="12"/>
      <c r="Y40" s="73">
        <f>Y38/3600*X3</f>
        <v>1.9169289810467807</v>
      </c>
      <c r="Z40" s="1"/>
      <c r="AA40" s="1"/>
    </row>
    <row r="41" spans="1:27" ht="13.5" thickBot="1">
      <c r="A41" s="8"/>
      <c r="B41" s="74" t="s">
        <v>45</v>
      </c>
      <c r="C41" s="40">
        <v>14.224</v>
      </c>
      <c r="D41" s="64"/>
      <c r="E41" s="75">
        <v>14.224</v>
      </c>
      <c r="F41" s="76"/>
      <c r="G41" s="8"/>
      <c r="H41" s="8"/>
      <c r="I41" s="8"/>
      <c r="J41" s="8"/>
      <c r="K41" s="70" t="s">
        <v>51</v>
      </c>
      <c r="L41" s="26">
        <f>L38*L37*L36*L35*L33*L32*L31*L30*L29*L28*L27*L26*L25*L24*L23*L22*L20*L19*L17*L15*L14*L13*L12*L10*L8*L6*L5</f>
        <v>0.87186667834034981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"/>
      <c r="AA41" s="1"/>
    </row>
    <row r="42" spans="1:27" ht="13.5" thickBot="1">
      <c r="A42" s="8"/>
      <c r="B42" s="27" t="s">
        <v>46</v>
      </c>
      <c r="C42" s="47">
        <f>C41/0.853</f>
        <v>16.675263774912075</v>
      </c>
      <c r="D42" s="65"/>
      <c r="E42" s="77">
        <f>E41/0.853</f>
        <v>16.675263774912075</v>
      </c>
      <c r="F42" s="78"/>
      <c r="G42" s="8"/>
      <c r="H42" s="8"/>
      <c r="I42" s="8"/>
      <c r="J42" s="8"/>
      <c r="K42" s="8"/>
      <c r="L42" s="8"/>
      <c r="M42" s="8"/>
      <c r="N42" s="79"/>
      <c r="O42" s="80"/>
      <c r="P42" s="8"/>
      <c r="Q42" s="8"/>
      <c r="R42" s="8"/>
      <c r="S42" s="8"/>
      <c r="T42" s="8"/>
      <c r="U42" s="8"/>
      <c r="V42" s="8"/>
      <c r="W42" s="8"/>
      <c r="X42" s="8"/>
      <c r="Y42" s="8"/>
      <c r="Z42" s="1"/>
      <c r="AA42" s="1"/>
    </row>
    <row r="43" spans="1:27">
      <c r="A43" s="8"/>
      <c r="B43" s="27" t="s">
        <v>47</v>
      </c>
      <c r="C43" s="47">
        <v>38</v>
      </c>
      <c r="D43" s="65"/>
      <c r="E43" s="77">
        <v>38</v>
      </c>
      <c r="F43" s="78"/>
      <c r="G43" s="8"/>
      <c r="H43" s="8"/>
      <c r="I43" s="8"/>
      <c r="J43" s="8"/>
      <c r="K43" s="81" t="s">
        <v>57</v>
      </c>
      <c r="L43" s="82" t="s">
        <v>56</v>
      </c>
      <c r="M43" s="8"/>
      <c r="N43" s="83"/>
      <c r="O43" s="84"/>
      <c r="P43" s="85"/>
      <c r="Q43" s="8"/>
      <c r="R43" s="8"/>
      <c r="S43" s="8"/>
      <c r="T43" s="8"/>
      <c r="U43" s="8"/>
      <c r="V43" s="65"/>
      <c r="W43" s="65"/>
      <c r="X43" s="65"/>
      <c r="Y43" s="65"/>
      <c r="Z43" s="1"/>
      <c r="AA43" s="1"/>
    </row>
    <row r="44" spans="1:27" ht="13.5" thickBot="1">
      <c r="A44" s="8"/>
      <c r="B44" s="27" t="s">
        <v>48</v>
      </c>
      <c r="C44" s="47">
        <f>C43/0.853</f>
        <v>44.54865181711606</v>
      </c>
      <c r="D44" s="65"/>
      <c r="E44" s="77">
        <f>E43/0.853</f>
        <v>44.54865181711606</v>
      </c>
      <c r="F44" s="78"/>
      <c r="G44" s="8"/>
      <c r="H44" s="8"/>
      <c r="I44" s="8"/>
      <c r="J44" s="8"/>
      <c r="K44" s="86">
        <v>0.25</v>
      </c>
      <c r="L44" s="87">
        <f>L40*1.25</f>
        <v>104.64566433491819</v>
      </c>
      <c r="M44" s="8" t="s">
        <v>201</v>
      </c>
      <c r="N44" s="83"/>
      <c r="O44" s="84"/>
      <c r="P44" s="85"/>
      <c r="Q44" s="88"/>
      <c r="R44" s="9"/>
      <c r="S44" s="88"/>
      <c r="T44" s="89"/>
      <c r="U44" s="88"/>
      <c r="V44" s="9"/>
      <c r="W44" s="90"/>
      <c r="X44" s="9"/>
      <c r="Y44" s="90"/>
      <c r="Z44" s="1"/>
      <c r="AA44" s="1"/>
    </row>
    <row r="45" spans="1:27">
      <c r="A45" s="8"/>
      <c r="B45" s="74" t="s">
        <v>357</v>
      </c>
      <c r="C45" s="91">
        <v>170</v>
      </c>
      <c r="D45" s="92"/>
      <c r="E45" s="93">
        <v>170</v>
      </c>
      <c r="F45" s="76"/>
      <c r="G45" s="8"/>
      <c r="H45" s="8"/>
      <c r="I45" s="8"/>
      <c r="J45" s="84"/>
      <c r="K45" s="86">
        <v>0.3</v>
      </c>
      <c r="L45" s="87">
        <f>L40*1.3</f>
        <v>108.83149090831493</v>
      </c>
      <c r="M45" s="8"/>
      <c r="N45" s="83"/>
      <c r="O45" s="84"/>
      <c r="P45" s="85"/>
      <c r="Q45" s="8"/>
      <c r="R45" s="8"/>
      <c r="S45" s="8"/>
      <c r="T45" s="8"/>
      <c r="U45" s="8"/>
      <c r="V45" s="8"/>
      <c r="W45" s="8"/>
      <c r="X45" s="8"/>
      <c r="Y45" s="8"/>
      <c r="Z45" s="1"/>
      <c r="AA45" s="1"/>
    </row>
    <row r="46" spans="1:27" ht="13.5" thickBot="1">
      <c r="A46" s="8"/>
      <c r="B46" s="27" t="s">
        <v>3</v>
      </c>
      <c r="C46" s="47">
        <v>6</v>
      </c>
      <c r="D46" s="65"/>
      <c r="E46" s="77">
        <v>6</v>
      </c>
      <c r="F46" s="78">
        <f>C46*E46</f>
        <v>36</v>
      </c>
      <c r="G46" s="8"/>
      <c r="H46" s="8"/>
      <c r="I46" s="8"/>
      <c r="J46" s="8"/>
      <c r="K46" s="94">
        <v>0.35</v>
      </c>
      <c r="L46" s="95">
        <f>L40*1.35</f>
        <v>113.01731748171166</v>
      </c>
      <c r="M46" s="8"/>
      <c r="N46" s="41"/>
      <c r="O46" s="8"/>
      <c r="P46" s="41"/>
      <c r="Q46" s="8"/>
      <c r="R46" s="41"/>
      <c r="S46" s="8"/>
      <c r="T46" s="41"/>
      <c r="U46" s="8"/>
      <c r="V46" s="96"/>
      <c r="W46" s="8"/>
      <c r="X46" s="90"/>
      <c r="Y46" s="8"/>
      <c r="Z46" s="1"/>
      <c r="AA46" s="1"/>
    </row>
    <row r="47" spans="1:27">
      <c r="A47" s="8"/>
      <c r="B47" s="27" t="s">
        <v>49</v>
      </c>
      <c r="C47" s="47">
        <v>2</v>
      </c>
      <c r="D47" s="65"/>
      <c r="E47" s="77">
        <v>2</v>
      </c>
      <c r="F47" s="78">
        <f>C47*E47</f>
        <v>4</v>
      </c>
      <c r="G47" s="8"/>
      <c r="H47" s="8"/>
      <c r="I47" s="8"/>
      <c r="J47" s="8"/>
      <c r="K47" s="8"/>
      <c r="L47" s="8"/>
      <c r="M47" s="8"/>
      <c r="N47" s="97"/>
      <c r="O47" s="65"/>
      <c r="P47" s="89"/>
      <c r="Q47" s="65"/>
      <c r="R47" s="89"/>
      <c r="S47" s="65"/>
      <c r="T47" s="89"/>
      <c r="U47" s="65"/>
      <c r="V47" s="97"/>
      <c r="W47" s="65"/>
      <c r="X47" s="89"/>
      <c r="Y47" s="65"/>
      <c r="Z47" s="1"/>
      <c r="AA47" s="1"/>
    </row>
    <row r="48" spans="1:27" ht="13.5" thickBot="1">
      <c r="A48" s="8"/>
      <c r="B48" s="49" t="s">
        <v>50</v>
      </c>
      <c r="C48" s="61">
        <v>3</v>
      </c>
      <c r="D48" s="68"/>
      <c r="E48" s="98">
        <v>3</v>
      </c>
      <c r="F48" s="99">
        <f>C48*E48</f>
        <v>9</v>
      </c>
      <c r="G48" s="8"/>
      <c r="H48" s="8"/>
      <c r="I48" s="8"/>
      <c r="J48" s="84"/>
      <c r="K48" s="8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</sheetData>
  <phoneticPr fontId="5"/>
  <printOptions gridLines="1"/>
  <pageMargins left="0.78740157480314965" right="0.78740157480314965" top="0.55000000000000004" bottom="0.23" header="0.38" footer="0.28000000000000003"/>
  <pageSetup paperSize="9" scale="89" orientation="landscape" blackAndWhite="1" r:id="rId1"/>
  <headerFooter alignWithMargins="0">
    <oddHeader>&amp;A</oddHeader>
    <oddFooter>- &amp;P -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3FB1-7F14-416E-924E-8D8F6C8DAF17}">
  <sheetPr>
    <tabColor rgb="FFFFCCFF"/>
    <pageSetUpPr fitToPage="1"/>
  </sheetPr>
  <dimension ref="B1:AA68"/>
  <sheetViews>
    <sheetView view="pageBreakPreview" topLeftCell="A12" zoomScaleNormal="100" zoomScaleSheetLayoutView="100" workbookViewId="0">
      <selection activeCell="N19" sqref="N19"/>
    </sheetView>
  </sheetViews>
  <sheetFormatPr defaultColWidth="9" defaultRowHeight="13.5"/>
  <cols>
    <col min="1" max="1" width="3.54296875" style="138" customWidth="1"/>
    <col min="2" max="3" width="3.81640625" style="138" customWidth="1"/>
    <col min="4" max="6" width="8.81640625" style="138" customWidth="1"/>
    <col min="7" max="8" width="3.54296875" style="138" customWidth="1"/>
    <col min="9" max="9" width="9" style="138"/>
    <col min="10" max="10" width="9" style="138" customWidth="1"/>
    <col min="11" max="11" width="9" style="138"/>
    <col min="12" max="12" width="9" style="138" customWidth="1"/>
    <col min="13" max="13" width="9" style="138"/>
    <col min="14" max="14" width="5.54296875" style="138" customWidth="1"/>
    <col min="15" max="15" width="3.81640625" style="138" customWidth="1"/>
    <col min="16" max="16" width="3.81640625" style="183" customWidth="1"/>
    <col min="17" max="18" width="7.453125" style="138" customWidth="1"/>
    <col min="19" max="19" width="3.54296875" style="138" customWidth="1"/>
    <col min="20" max="21" width="15" style="138" customWidth="1"/>
    <col min="22" max="22" width="3.54296875" style="138" customWidth="1"/>
    <col min="23" max="23" width="6.453125" style="138" bestFit="1" customWidth="1"/>
    <col min="24" max="24" width="15" style="138" customWidth="1"/>
    <col min="25" max="25" width="3.54296875" style="138" customWidth="1"/>
    <col min="26" max="16384" width="9" style="138"/>
  </cols>
  <sheetData>
    <row r="1" spans="2:27" ht="16.5" thickBot="1">
      <c r="O1" s="203" t="s">
        <v>238</v>
      </c>
      <c r="P1" s="203"/>
      <c r="Q1" s="203"/>
      <c r="R1" s="203"/>
      <c r="S1" s="203"/>
      <c r="T1" s="203"/>
      <c r="U1" s="203"/>
      <c r="V1" s="203"/>
      <c r="W1" s="139"/>
      <c r="X1" s="140" t="s">
        <v>239</v>
      </c>
      <c r="Y1" s="141"/>
    </row>
    <row r="2" spans="2:27" ht="14.25" customHeight="1">
      <c r="C2" s="204" t="s">
        <v>240</v>
      </c>
      <c r="D2" s="204"/>
      <c r="E2" s="204" t="s">
        <v>241</v>
      </c>
      <c r="F2" s="204"/>
      <c r="G2" s="204"/>
      <c r="H2" s="204"/>
      <c r="I2" s="204"/>
      <c r="J2" s="204"/>
      <c r="K2" s="204"/>
      <c r="L2" s="204" t="s">
        <v>242</v>
      </c>
      <c r="O2" s="206" t="s">
        <v>243</v>
      </c>
      <c r="P2" s="142" t="s">
        <v>244</v>
      </c>
      <c r="Q2" s="209" t="s">
        <v>245</v>
      </c>
      <c r="R2" s="210"/>
      <c r="S2" s="210"/>
      <c r="T2" s="210"/>
      <c r="U2" s="210"/>
      <c r="V2" s="210"/>
      <c r="W2" s="210"/>
      <c r="X2" s="211"/>
    </row>
    <row r="3" spans="2:27" ht="14.25" customHeight="1">
      <c r="C3" s="204"/>
      <c r="D3" s="204"/>
      <c r="E3" s="204"/>
      <c r="F3" s="204"/>
      <c r="G3" s="204"/>
      <c r="H3" s="204"/>
      <c r="I3" s="204"/>
      <c r="J3" s="204"/>
      <c r="K3" s="204"/>
      <c r="L3" s="204"/>
      <c r="N3" s="143"/>
      <c r="O3" s="207"/>
      <c r="P3" s="144"/>
      <c r="Q3" s="212" t="s">
        <v>246</v>
      </c>
      <c r="R3" s="213"/>
      <c r="S3" s="145"/>
      <c r="T3" s="214" t="s">
        <v>247</v>
      </c>
      <c r="U3" s="215"/>
      <c r="V3" s="145"/>
      <c r="W3" s="214" t="s">
        <v>248</v>
      </c>
      <c r="X3" s="216"/>
    </row>
    <row r="4" spans="2:27" ht="14.25" customHeight="1">
      <c r="C4" s="205"/>
      <c r="D4" s="205"/>
      <c r="E4" s="205"/>
      <c r="F4" s="205"/>
      <c r="G4" s="205"/>
      <c r="H4" s="205"/>
      <c r="I4" s="205"/>
      <c r="J4" s="205"/>
      <c r="K4" s="205"/>
      <c r="L4" s="205"/>
      <c r="N4" s="143"/>
      <c r="O4" s="207"/>
      <c r="P4" s="146"/>
      <c r="Q4" s="217" t="s">
        <v>249</v>
      </c>
      <c r="R4" s="218"/>
      <c r="S4" s="147"/>
      <c r="T4" s="219" t="s">
        <v>250</v>
      </c>
      <c r="U4" s="220"/>
      <c r="V4" s="148"/>
      <c r="W4" s="221"/>
      <c r="X4" s="222"/>
    </row>
    <row r="5" spans="2:27" ht="14.25" customHeight="1">
      <c r="B5" s="223" t="s">
        <v>251</v>
      </c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143"/>
      <c r="O5" s="207"/>
      <c r="P5" s="150"/>
      <c r="Q5" s="225" t="s">
        <v>252</v>
      </c>
      <c r="R5" s="226"/>
      <c r="S5" s="151"/>
      <c r="T5" s="214" t="s">
        <v>253</v>
      </c>
      <c r="U5" s="215"/>
      <c r="V5" s="148"/>
      <c r="W5" s="214"/>
      <c r="X5" s="216"/>
    </row>
    <row r="6" spans="2:27" ht="14.25" customHeight="1"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143"/>
      <c r="O6" s="207"/>
      <c r="P6" s="152"/>
      <c r="Q6" s="227" t="s">
        <v>254</v>
      </c>
      <c r="R6" s="228"/>
      <c r="S6" s="147"/>
      <c r="T6" s="219" t="s">
        <v>255</v>
      </c>
      <c r="U6" s="220"/>
      <c r="V6" s="153"/>
      <c r="W6" s="229"/>
      <c r="X6" s="230"/>
    </row>
    <row r="7" spans="2:27" ht="14" thickBot="1">
      <c r="B7" s="154" t="s">
        <v>256</v>
      </c>
      <c r="C7" s="231" t="s">
        <v>257</v>
      </c>
      <c r="D7" s="232"/>
      <c r="E7" s="232"/>
      <c r="F7" s="232"/>
      <c r="G7" s="232"/>
      <c r="H7" s="233"/>
      <c r="I7" s="234" t="s">
        <v>258</v>
      </c>
      <c r="J7" s="234"/>
      <c r="K7" s="234"/>
      <c r="L7" s="155" t="s">
        <v>259</v>
      </c>
      <c r="M7" s="155" t="s">
        <v>260</v>
      </c>
      <c r="O7" s="207"/>
      <c r="P7" s="156" t="s">
        <v>244</v>
      </c>
      <c r="Q7" s="235" t="s">
        <v>261</v>
      </c>
      <c r="R7" s="236"/>
      <c r="S7" s="236"/>
      <c r="T7" s="236"/>
      <c r="U7" s="236"/>
      <c r="V7" s="236"/>
      <c r="W7" s="236"/>
      <c r="X7" s="237"/>
    </row>
    <row r="8" spans="2:27" ht="14" thickTop="1">
      <c r="B8" s="238" t="s">
        <v>262</v>
      </c>
      <c r="C8" s="240" t="s">
        <v>263</v>
      </c>
      <c r="D8" s="241"/>
      <c r="E8" s="241"/>
      <c r="F8" s="241"/>
      <c r="G8" s="244" t="s">
        <v>264</v>
      </c>
      <c r="H8" s="246" t="s">
        <v>265</v>
      </c>
      <c r="I8" s="248"/>
      <c r="J8" s="244"/>
      <c r="K8" s="246"/>
      <c r="L8" s="250"/>
      <c r="M8" s="250"/>
      <c r="O8" s="207"/>
      <c r="P8" s="157"/>
      <c r="Q8" s="252" t="s">
        <v>266</v>
      </c>
      <c r="R8" s="252"/>
      <c r="S8" s="252"/>
      <c r="T8" s="252"/>
      <c r="U8" s="252"/>
      <c r="V8" s="252"/>
      <c r="W8" s="252"/>
      <c r="X8" s="253"/>
    </row>
    <row r="9" spans="2:27">
      <c r="B9" s="239"/>
      <c r="C9" s="242"/>
      <c r="D9" s="243"/>
      <c r="E9" s="243"/>
      <c r="F9" s="243"/>
      <c r="G9" s="245"/>
      <c r="H9" s="247"/>
      <c r="I9" s="249"/>
      <c r="J9" s="245"/>
      <c r="K9" s="247"/>
      <c r="L9" s="251"/>
      <c r="M9" s="251"/>
      <c r="O9" s="207"/>
      <c r="P9" s="158"/>
      <c r="Q9" s="254" t="s">
        <v>267</v>
      </c>
      <c r="R9" s="254"/>
      <c r="S9" s="254"/>
      <c r="T9" s="254"/>
      <c r="U9" s="254"/>
      <c r="V9" s="254"/>
      <c r="W9" s="254"/>
      <c r="X9" s="255"/>
    </row>
    <row r="10" spans="2:27">
      <c r="B10" s="239" t="s">
        <v>268</v>
      </c>
      <c r="C10" s="242" t="s">
        <v>269</v>
      </c>
      <c r="D10" s="243"/>
      <c r="E10" s="243"/>
      <c r="F10" s="243"/>
      <c r="G10" s="245" t="s">
        <v>264</v>
      </c>
      <c r="H10" s="247" t="s">
        <v>265</v>
      </c>
      <c r="I10" s="249"/>
      <c r="J10" s="245"/>
      <c r="K10" s="247"/>
      <c r="L10" s="251"/>
      <c r="M10" s="251"/>
      <c r="O10" s="207"/>
      <c r="P10" s="158"/>
      <c r="Q10" s="256" t="s">
        <v>270</v>
      </c>
      <c r="R10" s="257"/>
      <c r="S10" s="257"/>
      <c r="T10" s="257"/>
      <c r="U10" s="257"/>
      <c r="V10" s="257"/>
      <c r="W10" s="257"/>
      <c r="X10" s="258"/>
    </row>
    <row r="11" spans="2:27">
      <c r="B11" s="239"/>
      <c r="C11" s="242"/>
      <c r="D11" s="243"/>
      <c r="E11" s="243"/>
      <c r="F11" s="243"/>
      <c r="G11" s="245"/>
      <c r="H11" s="247"/>
      <c r="I11" s="249"/>
      <c r="J11" s="245"/>
      <c r="K11" s="247"/>
      <c r="L11" s="251"/>
      <c r="M11" s="251"/>
      <c r="O11" s="207"/>
      <c r="P11" s="159"/>
      <c r="Q11" s="259" t="s">
        <v>271</v>
      </c>
      <c r="R11" s="259"/>
      <c r="S11" s="259"/>
      <c r="T11" s="259"/>
      <c r="U11" s="259"/>
      <c r="V11" s="259"/>
      <c r="W11" s="259"/>
      <c r="X11" s="260"/>
    </row>
    <row r="12" spans="2:27">
      <c r="B12" s="239" t="s">
        <v>272</v>
      </c>
      <c r="C12" s="242" t="s">
        <v>273</v>
      </c>
      <c r="D12" s="243"/>
      <c r="E12" s="243"/>
      <c r="F12" s="243"/>
      <c r="G12" s="245" t="s">
        <v>264</v>
      </c>
      <c r="H12" s="247" t="s">
        <v>265</v>
      </c>
      <c r="I12" s="249"/>
      <c r="J12" s="245"/>
      <c r="K12" s="247"/>
      <c r="L12" s="251"/>
      <c r="M12" s="251"/>
      <c r="O12" s="207"/>
      <c r="P12" s="160"/>
      <c r="Q12" s="261" t="s">
        <v>274</v>
      </c>
      <c r="R12" s="262"/>
      <c r="S12" s="262"/>
      <c r="T12" s="262"/>
      <c r="U12" s="262"/>
      <c r="V12" s="262"/>
      <c r="W12" s="262"/>
      <c r="X12" s="263"/>
    </row>
    <row r="13" spans="2:27">
      <c r="B13" s="239"/>
      <c r="C13" s="242"/>
      <c r="D13" s="243"/>
      <c r="E13" s="243"/>
      <c r="F13" s="243"/>
      <c r="G13" s="245"/>
      <c r="H13" s="247"/>
      <c r="I13" s="249"/>
      <c r="J13" s="245"/>
      <c r="K13" s="247"/>
      <c r="L13" s="251"/>
      <c r="M13" s="251"/>
      <c r="O13" s="207"/>
      <c r="P13" s="156" t="s">
        <v>244</v>
      </c>
      <c r="Q13" s="235" t="s">
        <v>275</v>
      </c>
      <c r="R13" s="236"/>
      <c r="S13" s="236"/>
      <c r="T13" s="236"/>
      <c r="U13" s="236"/>
      <c r="V13" s="236"/>
      <c r="W13" s="236"/>
      <c r="X13" s="237"/>
    </row>
    <row r="14" spans="2:27">
      <c r="B14" s="239" t="s">
        <v>276</v>
      </c>
      <c r="C14" s="242" t="s">
        <v>277</v>
      </c>
      <c r="D14" s="243"/>
      <c r="E14" s="243"/>
      <c r="F14" s="243"/>
      <c r="G14" s="245" t="s">
        <v>264</v>
      </c>
      <c r="H14" s="247" t="s">
        <v>265</v>
      </c>
      <c r="I14" s="249"/>
      <c r="J14" s="245"/>
      <c r="K14" s="247"/>
      <c r="L14" s="251"/>
      <c r="M14" s="251"/>
      <c r="O14" s="207"/>
      <c r="P14" s="161"/>
      <c r="Q14" s="264" t="s">
        <v>278</v>
      </c>
      <c r="R14" s="264"/>
      <c r="S14" s="264"/>
      <c r="T14" s="264"/>
      <c r="U14" s="264"/>
      <c r="V14" s="264"/>
      <c r="W14" s="264"/>
      <c r="X14" s="265"/>
    </row>
    <row r="15" spans="2:27">
      <c r="B15" s="239"/>
      <c r="C15" s="242"/>
      <c r="D15" s="243"/>
      <c r="E15" s="243"/>
      <c r="F15" s="243"/>
      <c r="G15" s="245"/>
      <c r="H15" s="247"/>
      <c r="I15" s="249"/>
      <c r="J15" s="245"/>
      <c r="K15" s="247"/>
      <c r="L15" s="251"/>
      <c r="M15" s="251"/>
      <c r="O15" s="207"/>
      <c r="P15" s="162"/>
      <c r="Q15" s="266" t="s">
        <v>279</v>
      </c>
      <c r="R15" s="266"/>
      <c r="S15" s="266"/>
      <c r="T15" s="266"/>
      <c r="U15" s="266"/>
      <c r="V15" s="266"/>
      <c r="W15" s="266"/>
      <c r="X15" s="267"/>
      <c r="AA15" s="163"/>
    </row>
    <row r="16" spans="2:27">
      <c r="B16" s="239" t="s">
        <v>280</v>
      </c>
      <c r="C16" s="268"/>
      <c r="D16" s="269"/>
      <c r="E16" s="269"/>
      <c r="F16" s="269"/>
      <c r="G16" s="245" t="s">
        <v>264</v>
      </c>
      <c r="H16" s="247" t="s">
        <v>265</v>
      </c>
      <c r="I16" s="249"/>
      <c r="J16" s="245"/>
      <c r="K16" s="247"/>
      <c r="L16" s="251"/>
      <c r="M16" s="251"/>
      <c r="O16" s="207"/>
      <c r="P16" s="162"/>
      <c r="Q16" s="266" t="s">
        <v>281</v>
      </c>
      <c r="R16" s="266"/>
      <c r="S16" s="266"/>
      <c r="T16" s="266"/>
      <c r="U16" s="266"/>
      <c r="V16" s="266"/>
      <c r="W16" s="266"/>
      <c r="X16" s="267"/>
    </row>
    <row r="17" spans="2:24" ht="16">
      <c r="B17" s="239"/>
      <c r="C17" s="268"/>
      <c r="D17" s="269"/>
      <c r="E17" s="269"/>
      <c r="F17" s="269"/>
      <c r="G17" s="245"/>
      <c r="H17" s="247"/>
      <c r="I17" s="249"/>
      <c r="J17" s="245"/>
      <c r="K17" s="247"/>
      <c r="L17" s="251"/>
      <c r="M17" s="251"/>
      <c r="N17" s="149"/>
      <c r="O17" s="207"/>
      <c r="P17" s="164"/>
      <c r="Q17" s="266" t="s">
        <v>282</v>
      </c>
      <c r="R17" s="266"/>
      <c r="S17" s="266"/>
      <c r="T17" s="266"/>
      <c r="U17" s="266"/>
      <c r="V17" s="266"/>
      <c r="W17" s="266"/>
      <c r="X17" s="267"/>
    </row>
    <row r="18" spans="2:24">
      <c r="B18" s="274" t="s">
        <v>283</v>
      </c>
      <c r="C18" s="274"/>
      <c r="D18" s="274"/>
      <c r="E18" s="274"/>
      <c r="F18" s="274"/>
      <c r="G18" s="274"/>
      <c r="H18" s="274"/>
      <c r="I18" s="274"/>
      <c r="J18" s="274"/>
      <c r="K18" s="274"/>
      <c r="L18" s="274"/>
      <c r="M18" s="274"/>
      <c r="N18" s="165"/>
      <c r="O18" s="207"/>
      <c r="P18" s="164"/>
      <c r="Q18" s="266" t="s">
        <v>284</v>
      </c>
      <c r="R18" s="266"/>
      <c r="S18" s="266"/>
      <c r="T18" s="266"/>
      <c r="U18" s="266"/>
      <c r="V18" s="266"/>
      <c r="W18" s="266"/>
      <c r="X18" s="267"/>
    </row>
    <row r="19" spans="2:24">
      <c r="B19" s="270" t="s">
        <v>285</v>
      </c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165"/>
      <c r="O19" s="207"/>
      <c r="P19" s="164"/>
      <c r="Q19" s="266" t="s">
        <v>286</v>
      </c>
      <c r="R19" s="266"/>
      <c r="S19" s="266"/>
      <c r="T19" s="266"/>
      <c r="U19" s="266"/>
      <c r="V19" s="266"/>
      <c r="W19" s="266"/>
      <c r="X19" s="267"/>
    </row>
    <row r="20" spans="2:24">
      <c r="B20" s="270" t="s">
        <v>287</v>
      </c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165"/>
      <c r="O20" s="207"/>
      <c r="P20" s="167"/>
      <c r="Q20" s="266" t="s">
        <v>288</v>
      </c>
      <c r="R20" s="266"/>
      <c r="S20" s="266"/>
      <c r="T20" s="266"/>
      <c r="U20" s="266"/>
      <c r="V20" s="266"/>
      <c r="W20" s="266"/>
      <c r="X20" s="267"/>
    </row>
    <row r="21" spans="2:24">
      <c r="N21" s="165"/>
      <c r="O21" s="207"/>
      <c r="P21" s="168"/>
      <c r="Q21" s="271" t="s">
        <v>289</v>
      </c>
      <c r="R21" s="272"/>
      <c r="S21" s="272"/>
      <c r="T21" s="272"/>
      <c r="U21" s="272"/>
      <c r="V21" s="272"/>
      <c r="W21" s="272"/>
      <c r="X21" s="273"/>
    </row>
    <row r="22" spans="2:24">
      <c r="N22" s="165"/>
      <c r="O22" s="207"/>
      <c r="P22" s="156" t="s">
        <v>244</v>
      </c>
      <c r="Q22" s="235" t="s">
        <v>290</v>
      </c>
      <c r="R22" s="236"/>
      <c r="S22" s="236"/>
      <c r="T22" s="236"/>
      <c r="U22" s="236"/>
      <c r="V22" s="236"/>
      <c r="W22" s="236"/>
      <c r="X22" s="237"/>
    </row>
    <row r="23" spans="2:24">
      <c r="N23" s="165"/>
      <c r="O23" s="207"/>
      <c r="P23" s="161"/>
      <c r="Q23" s="264" t="s">
        <v>291</v>
      </c>
      <c r="R23" s="264"/>
      <c r="S23" s="264"/>
      <c r="T23" s="264"/>
      <c r="U23" s="264"/>
      <c r="V23" s="264"/>
      <c r="W23" s="264"/>
      <c r="X23" s="265"/>
    </row>
    <row r="24" spans="2:24">
      <c r="N24" s="165"/>
      <c r="O24" s="207"/>
      <c r="P24" s="162"/>
      <c r="Q24" s="266" t="s">
        <v>292</v>
      </c>
      <c r="R24" s="266"/>
      <c r="S24" s="266"/>
      <c r="T24" s="266"/>
      <c r="U24" s="266"/>
      <c r="V24" s="266"/>
      <c r="W24" s="266"/>
      <c r="X24" s="267"/>
    </row>
    <row r="25" spans="2:24">
      <c r="N25" s="165"/>
      <c r="O25" s="207"/>
      <c r="P25" s="162"/>
      <c r="Q25" s="266" t="s">
        <v>293</v>
      </c>
      <c r="R25" s="266"/>
      <c r="S25" s="266"/>
      <c r="T25" s="266"/>
      <c r="U25" s="266"/>
      <c r="V25" s="266"/>
      <c r="W25" s="266"/>
      <c r="X25" s="267"/>
    </row>
    <row r="26" spans="2:24">
      <c r="N26" s="165"/>
      <c r="O26" s="207"/>
      <c r="P26" s="169"/>
      <c r="Q26" s="278" t="s">
        <v>294</v>
      </c>
      <c r="R26" s="278"/>
      <c r="S26" s="278"/>
      <c r="T26" s="278"/>
      <c r="U26" s="278"/>
      <c r="V26" s="278"/>
      <c r="W26" s="278"/>
      <c r="X26" s="279"/>
    </row>
    <row r="27" spans="2:24">
      <c r="N27" s="165"/>
      <c r="O27" s="207"/>
      <c r="P27" s="156" t="s">
        <v>244</v>
      </c>
      <c r="Q27" s="280" t="s">
        <v>295</v>
      </c>
      <c r="R27" s="281"/>
      <c r="S27" s="281"/>
      <c r="T27" s="281"/>
      <c r="U27" s="281"/>
      <c r="V27" s="281"/>
      <c r="W27" s="281"/>
      <c r="X27" s="282"/>
    </row>
    <row r="28" spans="2:24">
      <c r="N28" s="165"/>
      <c r="O28" s="207"/>
      <c r="P28" s="170"/>
      <c r="Q28" s="283" t="s">
        <v>296</v>
      </c>
      <c r="R28" s="284"/>
      <c r="S28" s="284"/>
      <c r="T28" s="284"/>
      <c r="U28" s="284"/>
      <c r="V28" s="284"/>
      <c r="W28" s="284"/>
      <c r="X28" s="285"/>
    </row>
    <row r="29" spans="2:24">
      <c r="N29" s="166"/>
      <c r="O29" s="207"/>
      <c r="P29" s="171"/>
      <c r="Q29" s="275" t="s">
        <v>297</v>
      </c>
      <c r="R29" s="276"/>
      <c r="S29" s="276"/>
      <c r="T29" s="276"/>
      <c r="U29" s="276"/>
      <c r="V29" s="276"/>
      <c r="W29" s="276"/>
      <c r="X29" s="277"/>
    </row>
    <row r="30" spans="2:24">
      <c r="N30" s="166"/>
      <c r="O30" s="207"/>
      <c r="P30" s="172"/>
      <c r="Q30" s="275" t="s">
        <v>298</v>
      </c>
      <c r="R30" s="276"/>
      <c r="S30" s="276"/>
      <c r="T30" s="276"/>
      <c r="U30" s="276"/>
      <c r="V30" s="276"/>
      <c r="W30" s="276"/>
      <c r="X30" s="277"/>
    </row>
    <row r="31" spans="2:24" ht="16.5" customHeight="1">
      <c r="N31" s="166"/>
      <c r="O31" s="207"/>
      <c r="P31" s="172"/>
      <c r="Q31" s="275" t="s">
        <v>299</v>
      </c>
      <c r="R31" s="276"/>
      <c r="S31" s="276"/>
      <c r="T31" s="276"/>
      <c r="U31" s="276"/>
      <c r="V31" s="276"/>
      <c r="W31" s="276"/>
      <c r="X31" s="277"/>
    </row>
    <row r="32" spans="2:24" ht="14.25" customHeight="1">
      <c r="O32" s="207"/>
      <c r="P32" s="172"/>
      <c r="Q32" s="275" t="s">
        <v>300</v>
      </c>
      <c r="R32" s="276"/>
      <c r="S32" s="276"/>
      <c r="T32" s="276"/>
      <c r="U32" s="276"/>
      <c r="V32" s="276"/>
      <c r="W32" s="276"/>
      <c r="X32" s="277"/>
    </row>
    <row r="33" spans="2:24" ht="16.5" customHeight="1">
      <c r="O33" s="207"/>
      <c r="P33" s="172"/>
      <c r="Q33" s="275" t="s">
        <v>301</v>
      </c>
      <c r="R33" s="276"/>
      <c r="S33" s="276"/>
      <c r="T33" s="276"/>
      <c r="U33" s="276"/>
      <c r="V33" s="276"/>
      <c r="W33" s="276"/>
      <c r="X33" s="277"/>
    </row>
    <row r="34" spans="2:24">
      <c r="O34" s="207"/>
      <c r="P34" s="171"/>
      <c r="Q34" s="275" t="s">
        <v>302</v>
      </c>
      <c r="R34" s="276"/>
      <c r="S34" s="276"/>
      <c r="T34" s="276"/>
      <c r="U34" s="276"/>
      <c r="V34" s="276"/>
      <c r="W34" s="276"/>
      <c r="X34" s="277"/>
    </row>
    <row r="35" spans="2:24">
      <c r="O35" s="207"/>
      <c r="P35" s="172"/>
      <c r="Q35" s="275" t="s">
        <v>303</v>
      </c>
      <c r="R35" s="276"/>
      <c r="S35" s="276"/>
      <c r="T35" s="276"/>
      <c r="U35" s="276"/>
      <c r="V35" s="276"/>
      <c r="W35" s="276"/>
      <c r="X35" s="277"/>
    </row>
    <row r="36" spans="2:24">
      <c r="O36" s="207"/>
      <c r="P36" s="172"/>
      <c r="Q36" s="275" t="s">
        <v>304</v>
      </c>
      <c r="R36" s="276"/>
      <c r="S36" s="276"/>
      <c r="T36" s="276"/>
      <c r="U36" s="276"/>
      <c r="V36" s="276"/>
      <c r="W36" s="276"/>
      <c r="X36" s="277"/>
    </row>
    <row r="37" spans="2:24">
      <c r="O37" s="207"/>
      <c r="P37" s="171"/>
      <c r="Q37" s="289" t="s">
        <v>305</v>
      </c>
      <c r="R37" s="290"/>
      <c r="S37" s="290"/>
      <c r="T37" s="290"/>
      <c r="U37" s="290"/>
      <c r="V37" s="290"/>
      <c r="W37" s="290"/>
      <c r="X37" s="291"/>
    </row>
    <row r="38" spans="2:24">
      <c r="O38" s="207"/>
      <c r="P38" s="172"/>
      <c r="Q38" s="292" t="s">
        <v>306</v>
      </c>
      <c r="R38" s="293"/>
      <c r="S38" s="293"/>
      <c r="T38" s="293"/>
      <c r="U38" s="293"/>
      <c r="V38" s="293"/>
      <c r="W38" s="293"/>
      <c r="X38" s="294"/>
    </row>
    <row r="39" spans="2:24">
      <c r="O39" s="207"/>
      <c r="P39" s="172"/>
      <c r="Q39" s="292" t="s">
        <v>307</v>
      </c>
      <c r="R39" s="293"/>
      <c r="S39" s="293"/>
      <c r="T39" s="293"/>
      <c r="U39" s="293"/>
      <c r="V39" s="293"/>
      <c r="W39" s="293"/>
      <c r="X39" s="294"/>
    </row>
    <row r="40" spans="2:24">
      <c r="O40" s="207"/>
      <c r="P40" s="172"/>
      <c r="Q40" s="292" t="s">
        <v>308</v>
      </c>
      <c r="R40" s="293"/>
      <c r="S40" s="293"/>
      <c r="T40" s="293"/>
      <c r="U40" s="293"/>
      <c r="V40" s="293"/>
      <c r="W40" s="293"/>
      <c r="X40" s="294"/>
    </row>
    <row r="41" spans="2:24">
      <c r="O41" s="207"/>
      <c r="P41" s="172"/>
      <c r="Q41" s="292" t="s">
        <v>309</v>
      </c>
      <c r="R41" s="293"/>
      <c r="S41" s="293"/>
      <c r="T41" s="293"/>
      <c r="U41" s="293"/>
      <c r="V41" s="293"/>
      <c r="W41" s="293"/>
      <c r="X41" s="294"/>
    </row>
    <row r="42" spans="2:24" ht="14" thickBot="1">
      <c r="O42" s="208"/>
      <c r="P42" s="173"/>
      <c r="Q42" s="295" t="s">
        <v>310</v>
      </c>
      <c r="R42" s="296"/>
      <c r="S42" s="296"/>
      <c r="T42" s="296"/>
      <c r="U42" s="296"/>
      <c r="V42" s="296"/>
      <c r="W42" s="296"/>
      <c r="X42" s="297"/>
    </row>
    <row r="43" spans="2:24" ht="14.25" customHeight="1">
      <c r="O43" s="206" t="s">
        <v>311</v>
      </c>
      <c r="P43" s="142" t="s">
        <v>244</v>
      </c>
      <c r="Q43" s="209" t="s">
        <v>312</v>
      </c>
      <c r="R43" s="210"/>
      <c r="S43" s="210"/>
      <c r="T43" s="210"/>
      <c r="U43" s="210"/>
      <c r="V43" s="210"/>
      <c r="W43" s="210"/>
      <c r="X43" s="211"/>
    </row>
    <row r="44" spans="2:24">
      <c r="O44" s="207"/>
      <c r="P44" s="174"/>
      <c r="Q44" s="308" t="s">
        <v>313</v>
      </c>
      <c r="R44" s="309"/>
      <c r="S44" s="309"/>
      <c r="T44" s="309"/>
      <c r="U44" s="309"/>
      <c r="V44" s="309"/>
      <c r="W44" s="309"/>
      <c r="X44" s="310"/>
    </row>
    <row r="45" spans="2:24">
      <c r="O45" s="207"/>
      <c r="P45" s="156" t="s">
        <v>244</v>
      </c>
      <c r="Q45" s="235" t="s">
        <v>314</v>
      </c>
      <c r="R45" s="236"/>
      <c r="S45" s="236"/>
      <c r="T45" s="236"/>
      <c r="U45" s="236"/>
      <c r="V45" s="236"/>
      <c r="W45" s="236"/>
      <c r="X45" s="237"/>
    </row>
    <row r="46" spans="2:24">
      <c r="O46" s="207"/>
      <c r="P46" s="144"/>
      <c r="Q46" s="311" t="s">
        <v>315</v>
      </c>
      <c r="R46" s="312"/>
      <c r="S46" s="312"/>
      <c r="T46" s="312"/>
      <c r="U46" s="312"/>
      <c r="V46" s="312"/>
      <c r="W46" s="312"/>
      <c r="X46" s="313"/>
    </row>
    <row r="47" spans="2:24" ht="14" thickBot="1">
      <c r="O47" s="207"/>
      <c r="P47" s="146"/>
      <c r="Q47" s="314" t="s">
        <v>316</v>
      </c>
      <c r="R47" s="315"/>
      <c r="S47" s="315"/>
      <c r="T47" s="315"/>
      <c r="U47" s="315"/>
      <c r="V47" s="315"/>
      <c r="W47" s="315"/>
      <c r="X47" s="316"/>
    </row>
    <row r="48" spans="2:24">
      <c r="B48" s="298" t="s">
        <v>311</v>
      </c>
      <c r="C48" s="156" t="s">
        <v>244</v>
      </c>
      <c r="D48" s="301" t="s">
        <v>317</v>
      </c>
      <c r="E48" s="302"/>
      <c r="F48" s="302"/>
      <c r="G48" s="302"/>
      <c r="H48" s="302"/>
      <c r="I48" s="302"/>
      <c r="J48" s="302"/>
      <c r="K48" s="302"/>
      <c r="L48" s="302"/>
      <c r="M48" s="303"/>
      <c r="O48" s="207"/>
      <c r="P48" s="175"/>
      <c r="Q48" s="304" t="s">
        <v>318</v>
      </c>
      <c r="R48" s="272"/>
      <c r="S48" s="272"/>
      <c r="T48" s="272"/>
      <c r="U48" s="272"/>
      <c r="V48" s="272"/>
      <c r="W48" s="272"/>
      <c r="X48" s="273"/>
    </row>
    <row r="49" spans="2:24">
      <c r="B49" s="299"/>
      <c r="C49" s="176"/>
      <c r="D49" s="305" t="s">
        <v>319</v>
      </c>
      <c r="E49" s="306"/>
      <c r="F49" s="306"/>
      <c r="G49" s="306"/>
      <c r="H49" s="306"/>
      <c r="I49" s="306"/>
      <c r="J49" s="306"/>
      <c r="K49" s="306"/>
      <c r="L49" s="306"/>
      <c r="M49" s="307"/>
      <c r="O49" s="207"/>
      <c r="P49" s="156" t="s">
        <v>244</v>
      </c>
      <c r="Q49" s="235" t="s">
        <v>320</v>
      </c>
      <c r="R49" s="236"/>
      <c r="S49" s="236"/>
      <c r="T49" s="236"/>
      <c r="U49" s="236"/>
      <c r="V49" s="236"/>
      <c r="W49" s="236"/>
      <c r="X49" s="237"/>
    </row>
    <row r="50" spans="2:24" ht="15">
      <c r="B50" s="299"/>
      <c r="C50" s="177"/>
      <c r="D50" s="286" t="s">
        <v>321</v>
      </c>
      <c r="E50" s="287"/>
      <c r="F50" s="287"/>
      <c r="G50" s="287"/>
      <c r="H50" s="287"/>
      <c r="I50" s="287"/>
      <c r="J50" s="287"/>
      <c r="K50" s="287"/>
      <c r="L50" s="287"/>
      <c r="M50" s="288"/>
      <c r="O50" s="207"/>
      <c r="P50" s="161"/>
      <c r="Q50" s="264" t="s">
        <v>322</v>
      </c>
      <c r="R50" s="264"/>
      <c r="S50" s="264"/>
      <c r="T50" s="264"/>
      <c r="U50" s="264"/>
      <c r="V50" s="264"/>
      <c r="W50" s="264"/>
      <c r="X50" s="265"/>
    </row>
    <row r="51" spans="2:24">
      <c r="B51" s="299"/>
      <c r="C51" s="178"/>
      <c r="D51" s="286" t="s">
        <v>323</v>
      </c>
      <c r="E51" s="287"/>
      <c r="F51" s="287"/>
      <c r="G51" s="287"/>
      <c r="H51" s="287"/>
      <c r="I51" s="287"/>
      <c r="J51" s="287"/>
      <c r="K51" s="287"/>
      <c r="L51" s="287"/>
      <c r="M51" s="288"/>
      <c r="O51" s="207"/>
      <c r="P51" s="179"/>
      <c r="Q51" s="278" t="s">
        <v>324</v>
      </c>
      <c r="R51" s="278"/>
      <c r="S51" s="278"/>
      <c r="T51" s="278"/>
      <c r="U51" s="278"/>
      <c r="V51" s="278"/>
      <c r="W51" s="278"/>
      <c r="X51" s="279"/>
    </row>
    <row r="52" spans="2:24">
      <c r="B52" s="299"/>
      <c r="C52" s="177"/>
      <c r="D52" s="286" t="s">
        <v>325</v>
      </c>
      <c r="E52" s="287"/>
      <c r="F52" s="287"/>
      <c r="G52" s="287"/>
      <c r="H52" s="287"/>
      <c r="I52" s="287"/>
      <c r="J52" s="287"/>
      <c r="K52" s="287"/>
      <c r="L52" s="287"/>
      <c r="M52" s="288"/>
      <c r="O52" s="207"/>
      <c r="P52" s="156" t="s">
        <v>244</v>
      </c>
      <c r="Q52" s="235" t="s">
        <v>326</v>
      </c>
      <c r="R52" s="236"/>
      <c r="S52" s="236"/>
      <c r="T52" s="236"/>
      <c r="U52" s="236"/>
      <c r="V52" s="236"/>
      <c r="W52" s="236"/>
      <c r="X52" s="237"/>
    </row>
    <row r="53" spans="2:24">
      <c r="B53" s="299"/>
      <c r="C53" s="177"/>
      <c r="D53" s="286" t="s">
        <v>327</v>
      </c>
      <c r="E53" s="287"/>
      <c r="F53" s="287"/>
      <c r="G53" s="287"/>
      <c r="H53" s="287"/>
      <c r="I53" s="287"/>
      <c r="J53" s="287"/>
      <c r="K53" s="287"/>
      <c r="L53" s="287"/>
      <c r="M53" s="288"/>
      <c r="O53" s="207"/>
      <c r="P53" s="161"/>
      <c r="Q53" s="264" t="s">
        <v>328</v>
      </c>
      <c r="R53" s="264"/>
      <c r="S53" s="264"/>
      <c r="T53" s="264"/>
      <c r="U53" s="264"/>
      <c r="V53" s="264"/>
      <c r="W53" s="264"/>
      <c r="X53" s="265"/>
    </row>
    <row r="54" spans="2:24">
      <c r="B54" s="299"/>
      <c r="C54" s="180"/>
      <c r="D54" s="286" t="s">
        <v>329</v>
      </c>
      <c r="E54" s="287"/>
      <c r="F54" s="287"/>
      <c r="G54" s="287"/>
      <c r="H54" s="287"/>
      <c r="I54" s="287"/>
      <c r="J54" s="287"/>
      <c r="K54" s="287"/>
      <c r="L54" s="287"/>
      <c r="M54" s="288"/>
      <c r="O54" s="207"/>
      <c r="P54" s="162"/>
      <c r="Q54" s="266" t="s">
        <v>330</v>
      </c>
      <c r="R54" s="266"/>
      <c r="S54" s="266"/>
      <c r="T54" s="266"/>
      <c r="U54" s="266"/>
      <c r="V54" s="266"/>
      <c r="W54" s="266"/>
      <c r="X54" s="267"/>
    </row>
    <row r="55" spans="2:24">
      <c r="B55" s="299"/>
      <c r="C55" s="180"/>
      <c r="D55" s="286" t="s">
        <v>331</v>
      </c>
      <c r="E55" s="287"/>
      <c r="F55" s="287"/>
      <c r="G55" s="287"/>
      <c r="H55" s="287"/>
      <c r="I55" s="287"/>
      <c r="J55" s="287"/>
      <c r="K55" s="287"/>
      <c r="L55" s="287"/>
      <c r="M55" s="288"/>
      <c r="O55" s="207"/>
      <c r="P55" s="162"/>
      <c r="Q55" s="214" t="s">
        <v>332</v>
      </c>
      <c r="R55" s="215"/>
      <c r="S55" s="215"/>
      <c r="T55" s="215"/>
      <c r="U55" s="215"/>
      <c r="V55" s="215"/>
      <c r="W55" s="215"/>
      <c r="X55" s="216"/>
    </row>
    <row r="56" spans="2:24">
      <c r="B56" s="299"/>
      <c r="C56" s="180"/>
      <c r="D56" s="286" t="s">
        <v>333</v>
      </c>
      <c r="E56" s="287"/>
      <c r="F56" s="287"/>
      <c r="G56" s="287"/>
      <c r="H56" s="287"/>
      <c r="I56" s="287"/>
      <c r="J56" s="287"/>
      <c r="K56" s="287"/>
      <c r="L56" s="287"/>
      <c r="M56" s="288"/>
      <c r="O56" s="207"/>
      <c r="P56" s="164"/>
      <c r="Q56" s="317" t="s">
        <v>334</v>
      </c>
      <c r="R56" s="318"/>
      <c r="S56" s="318"/>
      <c r="T56" s="318"/>
      <c r="U56" s="318"/>
      <c r="V56" s="318"/>
      <c r="W56" s="318"/>
      <c r="X56" s="319"/>
    </row>
    <row r="57" spans="2:24" ht="14" thickBot="1">
      <c r="B57" s="300"/>
      <c r="C57" s="181"/>
      <c r="D57" s="320" t="s">
        <v>335</v>
      </c>
      <c r="E57" s="321"/>
      <c r="F57" s="321"/>
      <c r="G57" s="321"/>
      <c r="H57" s="321"/>
      <c r="I57" s="321"/>
      <c r="J57" s="321"/>
      <c r="K57" s="321"/>
      <c r="L57" s="321"/>
      <c r="M57" s="322"/>
      <c r="O57" s="208"/>
      <c r="P57" s="182"/>
      <c r="Q57" s="323" t="s">
        <v>336</v>
      </c>
      <c r="R57" s="324"/>
      <c r="S57" s="324"/>
      <c r="T57" s="324"/>
      <c r="U57" s="324"/>
      <c r="V57" s="324"/>
      <c r="W57" s="324"/>
      <c r="X57" s="325"/>
    </row>
    <row r="58" spans="2:24">
      <c r="P58" s="138"/>
    </row>
    <row r="59" spans="2:24">
      <c r="P59" s="138"/>
    </row>
    <row r="60" spans="2:24">
      <c r="P60" s="138"/>
    </row>
    <row r="61" spans="2:24">
      <c r="P61" s="138"/>
    </row>
    <row r="62" spans="2:24">
      <c r="P62" s="138"/>
    </row>
    <row r="63" spans="2:24">
      <c r="P63" s="138"/>
    </row>
    <row r="64" spans="2:24">
      <c r="P64" s="138"/>
    </row>
    <row r="65" spans="16:16">
      <c r="P65" s="138"/>
    </row>
    <row r="66" spans="16:16">
      <c r="P66" s="138"/>
    </row>
    <row r="67" spans="16:16">
      <c r="P67" s="138"/>
    </row>
    <row r="68" spans="16:16">
      <c r="P68" s="138"/>
    </row>
  </sheetData>
  <mergeCells count="123">
    <mergeCell ref="D55:M55"/>
    <mergeCell ref="Q55:X55"/>
    <mergeCell ref="B48:B57"/>
    <mergeCell ref="D48:M48"/>
    <mergeCell ref="Q48:X48"/>
    <mergeCell ref="D49:M49"/>
    <mergeCell ref="Q49:X49"/>
    <mergeCell ref="D50:M50"/>
    <mergeCell ref="Q50:X50"/>
    <mergeCell ref="D51:M51"/>
    <mergeCell ref="Q51:X51"/>
    <mergeCell ref="D52:M52"/>
    <mergeCell ref="O43:O57"/>
    <mergeCell ref="Q43:X43"/>
    <mergeCell ref="Q44:X44"/>
    <mergeCell ref="Q45:X45"/>
    <mergeCell ref="Q46:X46"/>
    <mergeCell ref="Q47:X47"/>
    <mergeCell ref="Q52:X52"/>
    <mergeCell ref="D56:M56"/>
    <mergeCell ref="Q56:X56"/>
    <mergeCell ref="D57:M57"/>
    <mergeCell ref="Q57:X57"/>
    <mergeCell ref="D53:M53"/>
    <mergeCell ref="Q53:X53"/>
    <mergeCell ref="D54:M54"/>
    <mergeCell ref="Q37:X37"/>
    <mergeCell ref="Q38:X38"/>
    <mergeCell ref="Q39:X39"/>
    <mergeCell ref="Q40:X40"/>
    <mergeCell ref="Q41:X41"/>
    <mergeCell ref="Q42:X42"/>
    <mergeCell ref="Q54:X54"/>
    <mergeCell ref="Q31:X31"/>
    <mergeCell ref="Q32:X32"/>
    <mergeCell ref="Q33:X33"/>
    <mergeCell ref="Q34:X34"/>
    <mergeCell ref="Q35:X35"/>
    <mergeCell ref="Q36:X36"/>
    <mergeCell ref="Q25:X25"/>
    <mergeCell ref="Q26:X26"/>
    <mergeCell ref="Q27:X27"/>
    <mergeCell ref="Q28:X28"/>
    <mergeCell ref="Q29:X29"/>
    <mergeCell ref="Q30:X30"/>
    <mergeCell ref="B20:M20"/>
    <mergeCell ref="Q20:X20"/>
    <mergeCell ref="Q21:X21"/>
    <mergeCell ref="Q22:X22"/>
    <mergeCell ref="Q23:X23"/>
    <mergeCell ref="Q24:X24"/>
    <mergeCell ref="Q16:X16"/>
    <mergeCell ref="Q17:X17"/>
    <mergeCell ref="B18:M18"/>
    <mergeCell ref="Q18:X18"/>
    <mergeCell ref="B19:M19"/>
    <mergeCell ref="Q19:X19"/>
    <mergeCell ref="M14:M15"/>
    <mergeCell ref="Q14:X14"/>
    <mergeCell ref="Q15:X15"/>
    <mergeCell ref="B16:B17"/>
    <mergeCell ref="C16:F17"/>
    <mergeCell ref="G16:G17"/>
    <mergeCell ref="H16:H17"/>
    <mergeCell ref="I16:K17"/>
    <mergeCell ref="L16:L17"/>
    <mergeCell ref="M16:M17"/>
    <mergeCell ref="B14:B15"/>
    <mergeCell ref="C14:F15"/>
    <mergeCell ref="G14:G15"/>
    <mergeCell ref="H14:H15"/>
    <mergeCell ref="I14:K15"/>
    <mergeCell ref="L14:L15"/>
    <mergeCell ref="B12:B13"/>
    <mergeCell ref="C12:F13"/>
    <mergeCell ref="G12:G13"/>
    <mergeCell ref="H12:H13"/>
    <mergeCell ref="I12:K13"/>
    <mergeCell ref="L12:L13"/>
    <mergeCell ref="M12:M13"/>
    <mergeCell ref="Q12:X12"/>
    <mergeCell ref="Q13:X13"/>
    <mergeCell ref="C8:F9"/>
    <mergeCell ref="G8:G9"/>
    <mergeCell ref="H8:H9"/>
    <mergeCell ref="I8:K9"/>
    <mergeCell ref="L8:L9"/>
    <mergeCell ref="M8:M9"/>
    <mergeCell ref="Q8:X8"/>
    <mergeCell ref="Q9:X9"/>
    <mergeCell ref="B10:B11"/>
    <mergeCell ref="C10:F11"/>
    <mergeCell ref="G10:G11"/>
    <mergeCell ref="H10:H11"/>
    <mergeCell ref="I10:K11"/>
    <mergeCell ref="L10:L11"/>
    <mergeCell ref="M10:M11"/>
    <mergeCell ref="Q10:X10"/>
    <mergeCell ref="Q11:X11"/>
    <mergeCell ref="O1:V1"/>
    <mergeCell ref="C2:D4"/>
    <mergeCell ref="E2:E4"/>
    <mergeCell ref="F2:K4"/>
    <mergeCell ref="L2:L4"/>
    <mergeCell ref="O2:O42"/>
    <mergeCell ref="Q2:X2"/>
    <mergeCell ref="Q3:R3"/>
    <mergeCell ref="T3:U3"/>
    <mergeCell ref="W3:X3"/>
    <mergeCell ref="Q4:R4"/>
    <mergeCell ref="T4:U4"/>
    <mergeCell ref="W4:X4"/>
    <mergeCell ref="B5:M6"/>
    <mergeCell ref="Q5:R5"/>
    <mergeCell ref="T5:U5"/>
    <mergeCell ref="W5:X5"/>
    <mergeCell ref="Q6:R6"/>
    <mergeCell ref="T6:U6"/>
    <mergeCell ref="W6:X6"/>
    <mergeCell ref="C7:H7"/>
    <mergeCell ref="I7:K7"/>
    <mergeCell ref="Q7:X7"/>
    <mergeCell ref="B8:B9"/>
  </mergeCells>
  <phoneticPr fontId="5"/>
  <printOptions horizontalCentered="1" verticalCentered="1"/>
  <pageMargins left="0.51181102362204722" right="0" top="0" bottom="0" header="0" footer="0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F8D0-F165-482C-86CD-5F6381FFE576}">
  <dimension ref="B1:E32"/>
  <sheetViews>
    <sheetView workbookViewId="0">
      <selection activeCell="E17" sqref="E17"/>
    </sheetView>
  </sheetViews>
  <sheetFormatPr defaultColWidth="13.08984375" defaultRowHeight="23.25" customHeight="1"/>
  <cols>
    <col min="1" max="1" width="1.90625" customWidth="1"/>
    <col min="2" max="3" width="13.08984375" customWidth="1"/>
    <col min="4" max="4" width="53.453125" customWidth="1"/>
    <col min="5" max="5" width="16.26953125" customWidth="1"/>
  </cols>
  <sheetData>
    <row r="1" spans="2:5" ht="23.25" customHeight="1">
      <c r="B1" s="116" t="s">
        <v>342</v>
      </c>
    </row>
    <row r="2" spans="2:5" ht="26.25" customHeight="1">
      <c r="B2" s="115" t="s">
        <v>62</v>
      </c>
      <c r="C2" s="115" t="s">
        <v>63</v>
      </c>
      <c r="D2" s="115" t="s">
        <v>64</v>
      </c>
      <c r="E2" s="115" t="s">
        <v>65</v>
      </c>
    </row>
    <row r="3" spans="2:5" ht="25.5" customHeight="1">
      <c r="B3" s="114" t="s">
        <v>66</v>
      </c>
      <c r="C3" s="114" t="s">
        <v>67</v>
      </c>
      <c r="D3" s="114" t="s">
        <v>68</v>
      </c>
      <c r="E3" s="120" t="s">
        <v>343</v>
      </c>
    </row>
    <row r="4" spans="2:5" ht="25.5" customHeight="1">
      <c r="B4" s="114" t="s">
        <v>69</v>
      </c>
      <c r="C4" s="114" t="s">
        <v>70</v>
      </c>
      <c r="D4" s="114" t="s">
        <v>81</v>
      </c>
      <c r="E4" s="114"/>
    </row>
    <row r="5" spans="2:5" ht="25.5" customHeight="1">
      <c r="B5" s="114" t="s">
        <v>71</v>
      </c>
      <c r="C5" s="114" t="s">
        <v>72</v>
      </c>
      <c r="D5" s="114" t="s">
        <v>80</v>
      </c>
      <c r="E5" s="114"/>
    </row>
    <row r="6" spans="2:5" ht="25.5" customHeight="1">
      <c r="B6" s="114"/>
      <c r="C6" s="114" t="s">
        <v>73</v>
      </c>
      <c r="D6" s="114" t="s">
        <v>82</v>
      </c>
      <c r="E6" s="114"/>
    </row>
    <row r="7" spans="2:5" ht="25.5" customHeight="1">
      <c r="B7" s="114"/>
      <c r="C7" s="114" t="s">
        <v>74</v>
      </c>
      <c r="D7" s="114" t="s">
        <v>75</v>
      </c>
      <c r="E7" s="114"/>
    </row>
    <row r="8" spans="2:5" ht="25.5" customHeight="1">
      <c r="B8" s="114" t="s">
        <v>76</v>
      </c>
      <c r="C8" s="114" t="s">
        <v>72</v>
      </c>
      <c r="D8" s="114" t="s">
        <v>83</v>
      </c>
      <c r="E8" s="114"/>
    </row>
    <row r="9" spans="2:5" ht="25.5" customHeight="1">
      <c r="B9" s="114"/>
      <c r="C9" s="114" t="s">
        <v>77</v>
      </c>
      <c r="D9" s="114" t="s">
        <v>84</v>
      </c>
      <c r="E9" s="114"/>
    </row>
    <row r="10" spans="2:5" ht="25.5" customHeight="1">
      <c r="B10" s="114"/>
      <c r="C10" s="114" t="s">
        <v>78</v>
      </c>
      <c r="D10" s="114" t="s">
        <v>85</v>
      </c>
      <c r="E10" s="114"/>
    </row>
    <row r="11" spans="2:5" ht="25.5" customHeight="1">
      <c r="B11" s="114"/>
      <c r="C11" s="114" t="s">
        <v>79</v>
      </c>
      <c r="D11" s="114" t="s">
        <v>86</v>
      </c>
      <c r="E11" s="114"/>
    </row>
    <row r="12" spans="2:5" ht="25.5" customHeight="1">
      <c r="B12" s="114"/>
      <c r="C12" s="120" t="s">
        <v>344</v>
      </c>
      <c r="D12" s="120" t="s">
        <v>345</v>
      </c>
      <c r="E12" s="114"/>
    </row>
    <row r="13" spans="2:5" ht="25.5" customHeight="1">
      <c r="B13" s="114" t="s">
        <v>87</v>
      </c>
      <c r="C13" s="114" t="s">
        <v>346</v>
      </c>
      <c r="D13" s="114" t="s">
        <v>80</v>
      </c>
      <c r="E13" s="114"/>
    </row>
    <row r="14" spans="2:5" ht="25.5" customHeight="1">
      <c r="B14" s="114"/>
      <c r="C14" s="114" t="s">
        <v>88</v>
      </c>
      <c r="D14" s="114" t="s">
        <v>89</v>
      </c>
      <c r="E14" s="114"/>
    </row>
    <row r="15" spans="2:5" ht="25.5" customHeight="1">
      <c r="B15" s="114"/>
      <c r="C15" s="114"/>
      <c r="D15" s="114" t="s">
        <v>91</v>
      </c>
      <c r="E15" s="114"/>
    </row>
    <row r="16" spans="2:5" ht="25.5" customHeight="1">
      <c r="B16" s="114" t="s">
        <v>90</v>
      </c>
      <c r="C16" s="114"/>
      <c r="D16" s="114" t="s">
        <v>80</v>
      </c>
      <c r="E16" s="114"/>
    </row>
    <row r="17" spans="2:5" ht="25.5" customHeight="1">
      <c r="B17" s="114"/>
      <c r="C17" s="114" t="s">
        <v>88</v>
      </c>
      <c r="D17" s="114" t="s">
        <v>89</v>
      </c>
      <c r="E17" s="120" t="s">
        <v>350</v>
      </c>
    </row>
    <row r="18" spans="2:5" ht="25.5" customHeight="1">
      <c r="B18" s="114"/>
      <c r="C18" s="114"/>
      <c r="D18" s="114" t="s">
        <v>91</v>
      </c>
      <c r="E18" s="120" t="s">
        <v>350</v>
      </c>
    </row>
    <row r="19" spans="2:5" ht="25.5" customHeight="1">
      <c r="B19" s="114"/>
      <c r="C19" s="114" t="s">
        <v>92</v>
      </c>
      <c r="D19" s="114" t="s">
        <v>347</v>
      </c>
      <c r="E19" s="114"/>
    </row>
    <row r="20" spans="2:5" ht="25.5" customHeight="1">
      <c r="B20" s="114" t="s">
        <v>93</v>
      </c>
      <c r="C20" s="114"/>
      <c r="D20" s="114" t="s">
        <v>94</v>
      </c>
      <c r="E20" s="114"/>
    </row>
    <row r="21" spans="2:5" ht="25.5" customHeight="1">
      <c r="B21" s="114" t="s">
        <v>95</v>
      </c>
      <c r="C21" s="114" t="s">
        <v>97</v>
      </c>
      <c r="D21" s="114" t="s">
        <v>96</v>
      </c>
      <c r="E21" s="114"/>
    </row>
    <row r="22" spans="2:5" ht="25.5" customHeight="1">
      <c r="B22" s="114"/>
      <c r="C22" s="114" t="s">
        <v>98</v>
      </c>
      <c r="D22" s="114" t="s">
        <v>348</v>
      </c>
      <c r="E22" s="114"/>
    </row>
    <row r="23" spans="2:5" ht="25.5" customHeight="1">
      <c r="B23" s="114" t="s">
        <v>99</v>
      </c>
      <c r="C23" s="114" t="s">
        <v>100</v>
      </c>
      <c r="D23" s="114" t="s">
        <v>102</v>
      </c>
      <c r="E23" s="114"/>
    </row>
    <row r="24" spans="2:5" ht="25.5" customHeight="1">
      <c r="B24" s="114"/>
      <c r="C24" s="114" t="s">
        <v>101</v>
      </c>
      <c r="D24" s="114" t="s">
        <v>96</v>
      </c>
      <c r="E24" s="114"/>
    </row>
    <row r="25" spans="2:5" ht="25.5" customHeight="1">
      <c r="B25" s="114" t="s">
        <v>103</v>
      </c>
      <c r="C25" s="114"/>
      <c r="D25" s="114" t="s">
        <v>105</v>
      </c>
      <c r="E25" s="114"/>
    </row>
    <row r="26" spans="2:5" ht="25.5" customHeight="1">
      <c r="B26" s="114" t="s">
        <v>104</v>
      </c>
      <c r="C26" s="114"/>
      <c r="D26" s="114" t="s">
        <v>349</v>
      </c>
      <c r="E26" s="114"/>
    </row>
    <row r="27" spans="2:5" ht="25.5" customHeight="1">
      <c r="B27" s="114" t="s">
        <v>106</v>
      </c>
      <c r="C27" s="114"/>
      <c r="D27" s="114" t="s">
        <v>108</v>
      </c>
      <c r="E27" s="114"/>
    </row>
    <row r="28" spans="2:5" ht="25.5" customHeight="1">
      <c r="B28" s="114" t="s">
        <v>107</v>
      </c>
      <c r="C28" s="114"/>
      <c r="D28" s="114" t="s">
        <v>108</v>
      </c>
      <c r="E28" s="114"/>
    </row>
    <row r="29" spans="2:5" ht="25.5" customHeight="1">
      <c r="B29" s="114" t="s">
        <v>109</v>
      </c>
      <c r="C29" s="114"/>
      <c r="D29" s="114" t="s">
        <v>80</v>
      </c>
      <c r="E29" s="114"/>
    </row>
    <row r="30" spans="2:5" ht="25.5" customHeight="1">
      <c r="B30" s="114"/>
      <c r="C30" s="114" t="s">
        <v>88</v>
      </c>
      <c r="D30" s="114" t="s">
        <v>89</v>
      </c>
      <c r="E30" s="120" t="s">
        <v>350</v>
      </c>
    </row>
    <row r="31" spans="2:5" ht="25.5" customHeight="1">
      <c r="B31" s="114"/>
      <c r="C31" s="114"/>
      <c r="D31" s="114" t="s">
        <v>91</v>
      </c>
      <c r="E31" s="120" t="s">
        <v>350</v>
      </c>
    </row>
    <row r="32" spans="2:5" ht="25.5" customHeight="1">
      <c r="B32" s="114"/>
      <c r="C32" s="114" t="s">
        <v>92</v>
      </c>
      <c r="D32" s="114" t="s">
        <v>347</v>
      </c>
      <c r="E32" s="114"/>
    </row>
  </sheetData>
  <phoneticPr fontId="5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60B5-E639-47DB-934F-39D75FDBF644}">
  <dimension ref="B1:E30"/>
  <sheetViews>
    <sheetView workbookViewId="0">
      <selection activeCell="F8" sqref="F8"/>
    </sheetView>
  </sheetViews>
  <sheetFormatPr defaultColWidth="13.08984375" defaultRowHeight="23.25" customHeight="1"/>
  <cols>
    <col min="1" max="1" width="1.90625" customWidth="1"/>
    <col min="2" max="3" width="13.08984375" customWidth="1"/>
    <col min="4" max="4" width="53.453125" customWidth="1"/>
  </cols>
  <sheetData>
    <row r="1" spans="2:5" ht="23.25" customHeight="1">
      <c r="B1" s="116" t="s">
        <v>136</v>
      </c>
    </row>
    <row r="2" spans="2:5" ht="26.25" customHeight="1">
      <c r="B2" s="115" t="s">
        <v>62</v>
      </c>
      <c r="C2" s="115" t="s">
        <v>63</v>
      </c>
      <c r="D2" s="115" t="s">
        <v>64</v>
      </c>
      <c r="E2" s="115" t="s">
        <v>65</v>
      </c>
    </row>
    <row r="3" spans="2:5" ht="25.5" customHeight="1">
      <c r="B3" s="114" t="s">
        <v>110</v>
      </c>
      <c r="C3" s="114" t="s">
        <v>111</v>
      </c>
      <c r="D3" s="114" t="s">
        <v>112</v>
      </c>
      <c r="E3" s="114"/>
    </row>
    <row r="4" spans="2:5" ht="25.5" customHeight="1">
      <c r="B4" s="114"/>
      <c r="C4" s="114"/>
      <c r="D4" s="114" t="s">
        <v>365</v>
      </c>
      <c r="E4" s="114"/>
    </row>
    <row r="5" spans="2:5" ht="25.5" customHeight="1">
      <c r="B5" s="114"/>
      <c r="C5" s="118" t="s">
        <v>113</v>
      </c>
      <c r="D5" s="117" t="s">
        <v>358</v>
      </c>
      <c r="E5" s="114"/>
    </row>
    <row r="6" spans="2:5" ht="25.5" customHeight="1">
      <c r="B6" s="114"/>
      <c r="C6" s="114" t="s">
        <v>111</v>
      </c>
      <c r="D6" s="114" t="s">
        <v>114</v>
      </c>
      <c r="E6" s="114"/>
    </row>
    <row r="7" spans="2:5" ht="25.5" customHeight="1">
      <c r="B7" s="114"/>
      <c r="C7" s="114"/>
      <c r="D7" s="114" t="s">
        <v>352</v>
      </c>
      <c r="E7" s="114"/>
    </row>
    <row r="8" spans="2:5" ht="25.5" customHeight="1">
      <c r="B8" s="114"/>
      <c r="C8" s="118" t="s">
        <v>113</v>
      </c>
      <c r="D8" s="117" t="s">
        <v>115</v>
      </c>
      <c r="E8" s="114"/>
    </row>
    <row r="9" spans="2:5" ht="25.5" customHeight="1">
      <c r="B9" s="114" t="s">
        <v>116</v>
      </c>
      <c r="C9" s="114" t="s">
        <v>117</v>
      </c>
      <c r="D9" s="114" t="s">
        <v>351</v>
      </c>
      <c r="E9" s="114"/>
    </row>
    <row r="10" spans="2:5" ht="25.5" customHeight="1">
      <c r="B10" s="114" t="s">
        <v>118</v>
      </c>
      <c r="C10" s="114" t="s">
        <v>120</v>
      </c>
      <c r="D10" s="114" t="s">
        <v>122</v>
      </c>
      <c r="E10" s="114"/>
    </row>
    <row r="11" spans="2:5" ht="25.5" customHeight="1">
      <c r="B11" s="114" t="s">
        <v>119</v>
      </c>
      <c r="C11" s="114" t="s">
        <v>121</v>
      </c>
      <c r="D11" s="114" t="s">
        <v>122</v>
      </c>
      <c r="E11" s="114"/>
    </row>
    <row r="12" spans="2:5" ht="25.5" customHeight="1">
      <c r="B12" s="114" t="s">
        <v>123</v>
      </c>
      <c r="C12" s="114"/>
      <c r="D12" s="114" t="s">
        <v>124</v>
      </c>
      <c r="E12" s="114"/>
    </row>
    <row r="13" spans="2:5" ht="25.5" customHeight="1">
      <c r="B13" s="114" t="s">
        <v>134</v>
      </c>
      <c r="C13" s="114"/>
      <c r="D13" s="114" t="s">
        <v>124</v>
      </c>
      <c r="E13" s="114"/>
    </row>
    <row r="14" spans="2:5" ht="25.5" customHeight="1">
      <c r="B14" s="114" t="s">
        <v>135</v>
      </c>
      <c r="C14" s="114"/>
      <c r="D14" s="114" t="s">
        <v>124</v>
      </c>
      <c r="E14" s="114"/>
    </row>
    <row r="15" spans="2:5" ht="25.5" customHeight="1">
      <c r="B15" s="114" t="s">
        <v>125</v>
      </c>
      <c r="C15" s="114" t="s">
        <v>126</v>
      </c>
      <c r="D15" s="114" t="s">
        <v>139</v>
      </c>
      <c r="E15" s="114"/>
    </row>
    <row r="16" spans="2:5" ht="25.5" customHeight="1">
      <c r="B16" s="114"/>
      <c r="C16" s="114" t="s">
        <v>141</v>
      </c>
      <c r="D16" s="114" t="s">
        <v>140</v>
      </c>
      <c r="E16" s="114"/>
    </row>
    <row r="17" spans="2:5" ht="25.5" customHeight="1">
      <c r="B17" s="114"/>
      <c r="C17" s="114" t="s">
        <v>142</v>
      </c>
      <c r="D17" s="114" t="s">
        <v>143</v>
      </c>
      <c r="E17" s="114"/>
    </row>
    <row r="18" spans="2:5" ht="25.5" customHeight="1">
      <c r="B18" s="114"/>
      <c r="C18" s="114" t="s">
        <v>127</v>
      </c>
      <c r="D18" s="114" t="s">
        <v>124</v>
      </c>
      <c r="E18" s="114"/>
    </row>
    <row r="19" spans="2:5" ht="25.5" customHeight="1">
      <c r="B19" s="114"/>
      <c r="C19" s="114" t="s">
        <v>128</v>
      </c>
      <c r="D19" s="114" t="s">
        <v>144</v>
      </c>
      <c r="E19" s="114"/>
    </row>
    <row r="20" spans="2:5" ht="25.5" customHeight="1">
      <c r="B20" s="114" t="s">
        <v>129</v>
      </c>
      <c r="C20" s="114"/>
      <c r="D20" s="114" t="s">
        <v>145</v>
      </c>
      <c r="E20" s="114"/>
    </row>
    <row r="21" spans="2:5" ht="25.5" customHeight="1">
      <c r="B21" s="114"/>
      <c r="C21" s="118"/>
      <c r="D21" s="114" t="s">
        <v>146</v>
      </c>
      <c r="E21" s="114"/>
    </row>
    <row r="22" spans="2:5" ht="25.5" customHeight="1">
      <c r="B22" s="114"/>
      <c r="C22" s="118" t="s">
        <v>113</v>
      </c>
      <c r="D22" s="114" t="s">
        <v>147</v>
      </c>
      <c r="E22" s="114"/>
    </row>
    <row r="23" spans="2:5" ht="25.5" customHeight="1">
      <c r="B23" s="114" t="s">
        <v>130</v>
      </c>
      <c r="C23" s="114"/>
      <c r="D23" s="114" t="s">
        <v>131</v>
      </c>
      <c r="E23" s="114"/>
    </row>
    <row r="24" spans="2:5" ht="25.5" customHeight="1">
      <c r="B24" s="114"/>
      <c r="C24" s="114"/>
      <c r="D24" s="114" t="s">
        <v>362</v>
      </c>
      <c r="E24" s="114"/>
    </row>
    <row r="25" spans="2:5" ht="25.5" customHeight="1">
      <c r="B25" s="114"/>
      <c r="C25" s="118" t="s">
        <v>113</v>
      </c>
      <c r="D25" s="117" t="s">
        <v>361</v>
      </c>
      <c r="E25" s="114"/>
    </row>
    <row r="26" spans="2:5" ht="25.5" customHeight="1">
      <c r="B26" s="114" t="s">
        <v>132</v>
      </c>
      <c r="C26" s="114"/>
      <c r="D26" s="114" t="s">
        <v>148</v>
      </c>
      <c r="E26" s="114"/>
    </row>
    <row r="27" spans="2:5" ht="25.5" customHeight="1">
      <c r="B27" s="114" t="s">
        <v>133</v>
      </c>
      <c r="C27" s="114"/>
      <c r="D27" s="114" t="s">
        <v>149</v>
      </c>
      <c r="E27" s="114"/>
    </row>
    <row r="28" spans="2:5" ht="25.5" customHeight="1">
      <c r="B28" s="114"/>
      <c r="C28" s="114"/>
      <c r="D28" s="114"/>
      <c r="E28" s="114"/>
    </row>
    <row r="29" spans="2:5" ht="25.5" customHeight="1">
      <c r="B29" s="114"/>
      <c r="C29" s="114"/>
      <c r="D29" s="114"/>
      <c r="E29" s="114"/>
    </row>
    <row r="30" spans="2:5" ht="25.5" customHeight="1">
      <c r="B30" s="114"/>
      <c r="C30" s="114"/>
      <c r="D30" s="114"/>
      <c r="E30" s="114"/>
    </row>
  </sheetData>
  <phoneticPr fontId="5"/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FB90-3F0A-4F71-B201-9D2CE1B55B79}">
  <dimension ref="B1:E32"/>
  <sheetViews>
    <sheetView workbookViewId="0">
      <selection activeCell="E13" sqref="E13"/>
    </sheetView>
  </sheetViews>
  <sheetFormatPr defaultColWidth="13.08984375" defaultRowHeight="23.25" customHeight="1"/>
  <cols>
    <col min="1" max="1" width="1.90625" customWidth="1"/>
    <col min="2" max="3" width="13.08984375" customWidth="1"/>
    <col min="4" max="4" width="54.6328125" customWidth="1"/>
    <col min="5" max="5" width="16.1796875" customWidth="1"/>
  </cols>
  <sheetData>
    <row r="1" spans="2:5" ht="23.25" customHeight="1">
      <c r="B1" s="116" t="s">
        <v>137</v>
      </c>
    </row>
    <row r="2" spans="2:5" ht="26.25" customHeight="1">
      <c r="B2" s="115" t="s">
        <v>62</v>
      </c>
      <c r="C2" s="115" t="s">
        <v>63</v>
      </c>
      <c r="D2" s="115" t="s">
        <v>64</v>
      </c>
      <c r="E2" s="115" t="s">
        <v>65</v>
      </c>
    </row>
    <row r="3" spans="2:5" ht="25.5" customHeight="1">
      <c r="B3" s="114" t="s">
        <v>174</v>
      </c>
      <c r="C3" s="114" t="s">
        <v>179</v>
      </c>
      <c r="D3" s="114" t="s">
        <v>175</v>
      </c>
      <c r="E3" s="114"/>
    </row>
    <row r="4" spans="2:5" ht="25.5" customHeight="1">
      <c r="B4" s="114"/>
      <c r="C4" s="114"/>
      <c r="D4" s="114" t="s">
        <v>176</v>
      </c>
      <c r="E4" s="114"/>
    </row>
    <row r="5" spans="2:5" ht="25.5" customHeight="1">
      <c r="B5" s="114"/>
      <c r="C5" s="118" t="s">
        <v>113</v>
      </c>
      <c r="D5" s="117" t="s">
        <v>177</v>
      </c>
      <c r="E5" s="114"/>
    </row>
    <row r="6" spans="2:5" ht="25.5" customHeight="1">
      <c r="B6" s="114"/>
      <c r="C6" s="114"/>
      <c r="D6" s="190">
        <f>1810/((350/(38+10))*(320/(38+10))*2)</f>
        <v>18.617142857142856</v>
      </c>
      <c r="E6" s="114"/>
    </row>
    <row r="7" spans="2:5" ht="25.5" customHeight="1">
      <c r="B7" s="114" t="s">
        <v>178</v>
      </c>
      <c r="C7" s="114" t="s">
        <v>187</v>
      </c>
      <c r="D7" s="114" t="s">
        <v>180</v>
      </c>
      <c r="E7" s="114"/>
    </row>
    <row r="8" spans="2:5" ht="25.5" customHeight="1">
      <c r="B8" s="114"/>
      <c r="C8" s="114"/>
      <c r="D8" s="114" t="s">
        <v>176</v>
      </c>
      <c r="E8" s="114"/>
    </row>
    <row r="9" spans="2:5" ht="25.5" customHeight="1">
      <c r="B9" s="114"/>
      <c r="C9" s="118" t="s">
        <v>113</v>
      </c>
      <c r="D9" s="117" t="s">
        <v>181</v>
      </c>
      <c r="E9" s="114"/>
    </row>
    <row r="10" spans="2:5" ht="25.5" customHeight="1">
      <c r="B10" s="114"/>
      <c r="C10" s="118"/>
      <c r="D10" s="190">
        <f>3400/((350/(38+10))*(320/(380+10))*2)</f>
        <v>284.14285714285717</v>
      </c>
      <c r="E10" s="114"/>
    </row>
    <row r="11" spans="2:5" ht="25.5" customHeight="1">
      <c r="B11" s="114"/>
      <c r="C11" s="114" t="s">
        <v>182</v>
      </c>
      <c r="D11" s="114" t="s">
        <v>353</v>
      </c>
      <c r="E11" s="188">
        <v>45992</v>
      </c>
    </row>
    <row r="12" spans="2:5" ht="25.5" customHeight="1">
      <c r="B12" s="118" t="s">
        <v>188</v>
      </c>
      <c r="C12" s="117">
        <v>19.3</v>
      </c>
      <c r="D12" s="114" t="s">
        <v>193</v>
      </c>
      <c r="E12" s="114"/>
    </row>
    <row r="13" spans="2:5" ht="25.5" customHeight="1">
      <c r="B13" s="114"/>
      <c r="C13" s="187">
        <v>13420</v>
      </c>
      <c r="D13" s="114" t="s">
        <v>189</v>
      </c>
      <c r="E13" s="188">
        <v>45992</v>
      </c>
    </row>
    <row r="14" spans="2:5" ht="25.5" customHeight="1">
      <c r="B14" s="114"/>
      <c r="C14" s="114">
        <v>1.62</v>
      </c>
      <c r="D14" s="120" t="s">
        <v>192</v>
      </c>
      <c r="E14" s="114"/>
    </row>
    <row r="15" spans="2:5" ht="25.5" customHeight="1">
      <c r="B15" s="114"/>
      <c r="C15" s="114"/>
      <c r="D15" s="114"/>
      <c r="E15" s="114"/>
    </row>
    <row r="16" spans="2:5" ht="25.5" customHeight="1">
      <c r="B16" s="114" t="s">
        <v>183</v>
      </c>
      <c r="C16" s="114" t="s">
        <v>187</v>
      </c>
      <c r="D16" s="114" t="s">
        <v>184</v>
      </c>
      <c r="E16" s="114"/>
    </row>
    <row r="17" spans="2:5" ht="25.5" customHeight="1">
      <c r="B17" s="114"/>
      <c r="C17" s="114"/>
      <c r="D17" s="114" t="s">
        <v>176</v>
      </c>
      <c r="E17" s="114"/>
    </row>
    <row r="18" spans="2:5" ht="25.5" customHeight="1">
      <c r="B18" s="114"/>
      <c r="C18" s="118" t="s">
        <v>113</v>
      </c>
      <c r="D18" s="117" t="s">
        <v>185</v>
      </c>
      <c r="E18" s="114"/>
    </row>
    <row r="19" spans="2:5" ht="25.5" customHeight="1">
      <c r="B19" s="114"/>
      <c r="C19" s="114" t="s">
        <v>182</v>
      </c>
      <c r="D19" s="114" t="s">
        <v>354</v>
      </c>
      <c r="E19" s="120" t="s">
        <v>355</v>
      </c>
    </row>
    <row r="20" spans="2:5" ht="25.5" customHeight="1">
      <c r="B20" s="114"/>
      <c r="C20" s="118" t="s">
        <v>113</v>
      </c>
      <c r="D20" s="117" t="s">
        <v>186</v>
      </c>
      <c r="E20" s="114"/>
    </row>
    <row r="21" spans="2:5" ht="25.5" customHeight="1">
      <c r="B21" s="114"/>
      <c r="C21" s="114"/>
      <c r="D21" s="114"/>
      <c r="E21" s="114"/>
    </row>
    <row r="22" spans="2:5" ht="25.5" customHeight="1">
      <c r="B22" s="114"/>
      <c r="C22" s="114"/>
      <c r="D22" s="114"/>
      <c r="E22" s="114"/>
    </row>
    <row r="23" spans="2:5" ht="25.5" customHeight="1">
      <c r="B23" s="114"/>
      <c r="C23" s="114"/>
      <c r="D23" s="114"/>
      <c r="E23" s="114"/>
    </row>
    <row r="24" spans="2:5" ht="25.5" customHeight="1">
      <c r="B24" s="114"/>
      <c r="C24" s="114"/>
      <c r="D24" s="114"/>
      <c r="E24" s="114"/>
    </row>
    <row r="25" spans="2:5" ht="25.5" customHeight="1">
      <c r="B25" s="114"/>
      <c r="C25" s="114"/>
      <c r="D25" s="114"/>
      <c r="E25" s="114"/>
    </row>
    <row r="26" spans="2:5" ht="25.5" customHeight="1">
      <c r="B26" s="114"/>
      <c r="C26" s="114"/>
      <c r="D26" s="114"/>
      <c r="E26" s="114"/>
    </row>
    <row r="27" spans="2:5" ht="25.5" customHeight="1">
      <c r="B27" s="114"/>
      <c r="C27" s="114"/>
      <c r="D27" s="114"/>
      <c r="E27" s="114"/>
    </row>
    <row r="28" spans="2:5" ht="25.5" customHeight="1">
      <c r="B28" s="114"/>
      <c r="C28" s="114"/>
      <c r="D28" s="114"/>
      <c r="E28" s="114"/>
    </row>
    <row r="29" spans="2:5" ht="25.5" customHeight="1">
      <c r="B29" s="114"/>
      <c r="C29" s="114"/>
      <c r="D29" s="114"/>
      <c r="E29" s="114"/>
    </row>
    <row r="30" spans="2:5" ht="25.5" customHeight="1">
      <c r="B30" s="114"/>
      <c r="C30" s="114"/>
      <c r="D30" s="114"/>
      <c r="E30" s="114"/>
    </row>
    <row r="31" spans="2:5" ht="25.5" customHeight="1">
      <c r="B31" s="114"/>
      <c r="C31" s="114"/>
      <c r="D31" s="114"/>
      <c r="E31" s="114"/>
    </row>
    <row r="32" spans="2:5" ht="25.5" customHeight="1">
      <c r="B32" s="114"/>
      <c r="C32" s="114"/>
      <c r="D32" s="114"/>
      <c r="E32" s="114"/>
    </row>
  </sheetData>
  <phoneticPr fontId="5"/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421B-B6D4-4E9C-9E36-BB530E8B67E5}">
  <dimension ref="B1:E31"/>
  <sheetViews>
    <sheetView workbookViewId="0">
      <selection activeCell="D4" sqref="D4"/>
    </sheetView>
  </sheetViews>
  <sheetFormatPr defaultColWidth="13.08984375" defaultRowHeight="23.25" customHeight="1"/>
  <cols>
    <col min="1" max="1" width="1.90625" customWidth="1"/>
    <col min="2" max="3" width="13.08984375" customWidth="1"/>
    <col min="4" max="4" width="53.453125" customWidth="1"/>
  </cols>
  <sheetData>
    <row r="1" spans="2:5" ht="23.25" customHeight="1">
      <c r="B1" s="116" t="s">
        <v>138</v>
      </c>
    </row>
    <row r="2" spans="2:5" ht="26.25" customHeight="1">
      <c r="B2" s="115" t="s">
        <v>62</v>
      </c>
      <c r="C2" s="115" t="s">
        <v>63</v>
      </c>
      <c r="D2" s="115" t="s">
        <v>64</v>
      </c>
      <c r="E2" s="115" t="s">
        <v>65</v>
      </c>
    </row>
    <row r="3" spans="2:5" ht="25.5" customHeight="1">
      <c r="B3" s="114" t="s">
        <v>150</v>
      </c>
      <c r="C3" s="114"/>
      <c r="D3" s="114" t="s">
        <v>162</v>
      </c>
      <c r="E3" s="114"/>
    </row>
    <row r="4" spans="2:5" ht="25.5" customHeight="1">
      <c r="B4" s="114" t="s">
        <v>151</v>
      </c>
      <c r="C4" s="114"/>
      <c r="D4" s="114" t="s">
        <v>164</v>
      </c>
      <c r="E4" s="114"/>
    </row>
    <row r="5" spans="2:5" ht="25.5" customHeight="1">
      <c r="B5" s="114" t="s">
        <v>152</v>
      </c>
      <c r="C5" s="114"/>
      <c r="D5" s="114" t="s">
        <v>163</v>
      </c>
      <c r="E5" s="114"/>
    </row>
    <row r="6" spans="2:5" ht="25.5" customHeight="1">
      <c r="B6" s="114" t="s">
        <v>153</v>
      </c>
      <c r="C6" s="114"/>
      <c r="D6" s="114" t="s">
        <v>165</v>
      </c>
      <c r="E6" s="114"/>
    </row>
    <row r="7" spans="2:5" ht="25.5" customHeight="1">
      <c r="B7" s="114" t="s">
        <v>154</v>
      </c>
      <c r="C7" s="114"/>
      <c r="D7" s="114" t="s">
        <v>166</v>
      </c>
      <c r="E7" s="114"/>
    </row>
    <row r="8" spans="2:5" ht="25.5" customHeight="1">
      <c r="B8" s="114" t="s">
        <v>155</v>
      </c>
      <c r="C8" s="114"/>
      <c r="D8" s="114" t="s">
        <v>167</v>
      </c>
      <c r="E8" s="114"/>
    </row>
    <row r="9" spans="2:5" ht="25.5" customHeight="1">
      <c r="B9" s="114" t="s">
        <v>156</v>
      </c>
      <c r="C9" s="114"/>
      <c r="D9" s="114" t="s">
        <v>168</v>
      </c>
      <c r="E9" s="114"/>
    </row>
    <row r="10" spans="2:5" ht="25.5" customHeight="1">
      <c r="B10" s="114" t="s">
        <v>157</v>
      </c>
      <c r="C10" s="114"/>
      <c r="D10" s="114" t="s">
        <v>169</v>
      </c>
      <c r="E10" s="114"/>
    </row>
    <row r="11" spans="2:5" ht="25.5" customHeight="1">
      <c r="B11" s="114" t="s">
        <v>161</v>
      </c>
      <c r="C11" s="114"/>
      <c r="D11" s="114" t="s">
        <v>170</v>
      </c>
      <c r="E11" s="114"/>
    </row>
    <row r="12" spans="2:5" ht="25.5" customHeight="1">
      <c r="B12" s="114" t="s">
        <v>158</v>
      </c>
      <c r="C12" s="114"/>
      <c r="D12" s="114" t="s">
        <v>171</v>
      </c>
      <c r="E12" s="114"/>
    </row>
    <row r="13" spans="2:5" ht="25.5" customHeight="1">
      <c r="B13" s="114" t="s">
        <v>159</v>
      </c>
      <c r="C13" s="114"/>
      <c r="D13" s="114" t="s">
        <v>172</v>
      </c>
      <c r="E13" s="114"/>
    </row>
    <row r="14" spans="2:5" ht="25.5" customHeight="1">
      <c r="B14" s="114" t="s">
        <v>160</v>
      </c>
      <c r="C14" s="114"/>
      <c r="D14" s="114" t="s">
        <v>173</v>
      </c>
      <c r="E14" s="114"/>
    </row>
    <row r="15" spans="2:5" ht="25.5" customHeight="1">
      <c r="B15" s="114"/>
      <c r="C15" s="114"/>
      <c r="D15" s="114"/>
      <c r="E15" s="114"/>
    </row>
    <row r="16" spans="2:5" ht="25.5" customHeight="1">
      <c r="B16" s="114"/>
      <c r="C16" s="114"/>
      <c r="D16" s="114"/>
      <c r="E16" s="114"/>
    </row>
    <row r="17" spans="2:5" ht="25.5" customHeight="1">
      <c r="B17" s="114"/>
      <c r="C17" s="114"/>
      <c r="D17" s="114"/>
      <c r="E17" s="114"/>
    </row>
    <row r="18" spans="2:5" ht="25.5" customHeight="1">
      <c r="B18" s="114"/>
      <c r="C18" s="114"/>
      <c r="D18" s="114"/>
      <c r="E18" s="114"/>
    </row>
    <row r="19" spans="2:5" ht="25.5" customHeight="1">
      <c r="B19" s="114"/>
      <c r="C19" s="114"/>
      <c r="D19" s="114"/>
      <c r="E19" s="114"/>
    </row>
    <row r="20" spans="2:5" ht="25.5" customHeight="1">
      <c r="B20" s="114"/>
      <c r="C20" s="114"/>
      <c r="D20" s="114"/>
      <c r="E20" s="114"/>
    </row>
    <row r="21" spans="2:5" ht="25.5" customHeight="1">
      <c r="B21" s="114"/>
      <c r="C21" s="114"/>
      <c r="D21" s="114"/>
      <c r="E21" s="114"/>
    </row>
    <row r="22" spans="2:5" ht="25.5" customHeight="1">
      <c r="B22" s="114"/>
      <c r="C22" s="114"/>
      <c r="D22" s="114"/>
      <c r="E22" s="114"/>
    </row>
    <row r="23" spans="2:5" ht="25.5" customHeight="1">
      <c r="B23" s="114"/>
      <c r="C23" s="114"/>
      <c r="D23" s="114"/>
      <c r="E23" s="114"/>
    </row>
    <row r="24" spans="2:5" ht="25.5" customHeight="1">
      <c r="B24" s="114"/>
      <c r="C24" s="114"/>
      <c r="D24" s="114"/>
      <c r="E24" s="114"/>
    </row>
    <row r="25" spans="2:5" ht="25.5" customHeight="1">
      <c r="B25" s="114"/>
      <c r="C25" s="114"/>
      <c r="D25" s="114"/>
      <c r="E25" s="114"/>
    </row>
    <row r="26" spans="2:5" ht="25.5" customHeight="1">
      <c r="B26" s="114"/>
      <c r="C26" s="114"/>
      <c r="D26" s="114"/>
      <c r="E26" s="114"/>
    </row>
    <row r="27" spans="2:5" ht="25.5" customHeight="1">
      <c r="B27" s="114"/>
      <c r="C27" s="114"/>
      <c r="D27" s="114"/>
      <c r="E27" s="114"/>
    </row>
    <row r="28" spans="2:5" ht="25.5" customHeight="1">
      <c r="B28" s="114"/>
      <c r="C28" s="114"/>
      <c r="D28" s="114"/>
      <c r="E28" s="114"/>
    </row>
    <row r="29" spans="2:5" ht="25.5" customHeight="1">
      <c r="B29" s="114"/>
      <c r="C29" s="114"/>
      <c r="D29" s="114"/>
      <c r="E29" s="114"/>
    </row>
    <row r="30" spans="2:5" ht="25.5" customHeight="1">
      <c r="B30" s="114"/>
      <c r="C30" s="114"/>
      <c r="D30" s="114"/>
      <c r="E30" s="114"/>
    </row>
    <row r="31" spans="2:5" ht="25.5" customHeight="1">
      <c r="B31" s="114"/>
      <c r="C31" s="114"/>
      <c r="D31" s="114"/>
      <c r="E31" s="114"/>
    </row>
  </sheetData>
  <phoneticPr fontId="5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PKG仕様 (検討用)</vt:lpstr>
      <vt:lpstr>練習用計算表</vt:lpstr>
      <vt:lpstr>配列検討+テープ規格書チェックシート</vt:lpstr>
      <vt:lpstr>見積もり参考  ～切断</vt:lpstr>
      <vt:lpstr>見積もり参考  ～焼成</vt:lpstr>
      <vt:lpstr>見積もり参考  ～めっき</vt:lpstr>
      <vt:lpstr>見積もり参考  ～後工程</vt:lpstr>
      <vt:lpstr>'配列検討+テープ規格書チェックシート'!Print_Area</vt:lpstr>
    </vt:vector>
  </TitlesOfParts>
  <Company>京セラ半２設計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浩</dc:creator>
  <cp:lastModifiedBy>Motohashi Ryo　( 本橋　亮 )</cp:lastModifiedBy>
  <cp:lastPrinted>2025-12-16T02:57:55Z</cp:lastPrinted>
  <dcterms:created xsi:type="dcterms:W3CDTF">1997-10-30T20:00:23Z</dcterms:created>
  <dcterms:modified xsi:type="dcterms:W3CDTF">2025-12-16T05:13:04Z</dcterms:modified>
</cp:coreProperties>
</file>